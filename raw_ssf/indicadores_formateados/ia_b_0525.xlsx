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5">
    <font>
      <name val="Tahoma"/>
      <family val="2"/>
      <color theme="1"/>
      <sz val="10"/>
    </font>
    <font>
      <name val="Calibri"/>
      <family val="2"/>
      <color theme="1"/>
      <sz val="11"/>
      <scheme val="minor"/>
    </font>
    <font>
      <name val="Calibri"/>
      <family val="2"/>
      <color theme="1"/>
      <sz val="11"/>
      <scheme val="minor"/>
    </font>
    <font>
      <name val="Calibri"/>
      <family val="2"/>
      <b val="1"/>
      <color theme="0"/>
      <sz val="11"/>
      <scheme val="minor"/>
    </font>
    <font>
      <name val="Tahoma"/>
      <family val="2"/>
      <color theme="1"/>
      <sz val="10"/>
    </font>
    <font>
      <name val="Bembo Std"/>
      <family val="1"/>
      <b val="1"/>
      <color theme="1"/>
      <sz val="18"/>
    </font>
    <font>
      <name val="Bembo Std"/>
      <family val="1"/>
      <color theme="1"/>
      <sz val="12"/>
    </font>
    <font>
      <name val="Bembo Std"/>
      <family val="1"/>
      <sz val="12"/>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4" fillId="0" borderId="0"/>
    <xf numFmtId="0" fontId="3" fillId="2" borderId="1" applyAlignment="1">
      <alignment horizontal="center" vertical="top" wrapText="1"/>
    </xf>
    <xf numFmtId="165" fontId="14" fillId="0" borderId="0"/>
    <xf numFmtId="0" fontId="2" fillId="0" borderId="0"/>
    <xf numFmtId="0" fontId="17" fillId="0" borderId="0"/>
  </cellStyleXfs>
  <cellXfs count="52">
    <xf numFmtId="0" fontId="0" fillId="0" borderId="0" pivotButton="0" quotePrefix="0" xfId="0"/>
    <xf numFmtId="0" fontId="5" fillId="0" borderId="0" applyAlignment="1" pivotButton="0" quotePrefix="0" xfId="0">
      <alignment horizontal="left"/>
    </xf>
    <xf numFmtId="0" fontId="6" fillId="0" borderId="0" applyAlignment="1" pivotButton="0" quotePrefix="0" xfId="0">
      <alignment vertical="top"/>
    </xf>
    <xf numFmtId="0" fontId="7" fillId="0" borderId="0" applyAlignment="1" pivotButton="0" quotePrefix="0" xfId="0">
      <alignment vertical="top"/>
    </xf>
    <xf numFmtId="0" fontId="8" fillId="2" borderId="2" applyAlignment="1" pivotButton="0" quotePrefix="0" xfId="1">
      <alignment horizontal="center" vertical="center" wrapText="1"/>
    </xf>
    <xf numFmtId="0" fontId="11" fillId="3" borderId="6" applyAlignment="1" pivotButton="0" quotePrefix="0" xfId="0">
      <alignment horizontal="center" vertical="center" wrapText="1"/>
    </xf>
    <xf numFmtId="0" fontId="11" fillId="3" borderId="5" applyAlignment="1" pivotButton="0" quotePrefix="0" xfId="0">
      <alignment horizontal="center" vertical="center" wrapText="1"/>
    </xf>
    <xf numFmtId="0" fontId="2" fillId="0" borderId="0" pivotButton="0" quotePrefix="0" xfId="0"/>
    <xf numFmtId="0" fontId="11" fillId="3" borderId="7" applyAlignment="1" pivotButton="0" quotePrefix="0" xfId="0">
      <alignment horizontal="center" vertical="center" wrapText="1"/>
    </xf>
    <xf numFmtId="0" fontId="9" fillId="0" borderId="0" pivotButton="0" quotePrefix="0" xfId="0"/>
    <xf numFmtId="0" fontId="9" fillId="3" borderId="0" pivotButton="0" quotePrefix="0" xfId="2"/>
    <xf numFmtId="0" fontId="15" fillId="3" borderId="0" applyAlignment="1" pivotButton="0" quotePrefix="0" xfId="3">
      <alignment horizontal="left"/>
    </xf>
    <xf numFmtId="0" fontId="16" fillId="3" borderId="0" applyAlignment="1" pivotButton="0" quotePrefix="0" xfId="3">
      <alignment horizontal="left"/>
    </xf>
    <xf numFmtId="0" fontId="16" fillId="3" borderId="0" applyAlignment="1" pivotButton="0" quotePrefix="0" xfId="4">
      <alignment horizontal="left" vertical="center" wrapText="1"/>
    </xf>
    <xf numFmtId="0" fontId="16" fillId="3" borderId="0" applyAlignment="1" pivotButton="0" quotePrefix="0" xfId="4">
      <alignment horizontal="left"/>
    </xf>
    <xf numFmtId="0" fontId="12" fillId="3" borderId="0" applyAlignment="1" pivotButton="0" quotePrefix="0" xfId="3">
      <alignment horizontal="left"/>
    </xf>
    <xf numFmtId="0" fontId="18" fillId="3" borderId="0" applyAlignment="1" pivotButton="0" quotePrefix="0" xfId="3">
      <alignment horizontal="left"/>
    </xf>
    <xf numFmtId="0" fontId="19" fillId="3" borderId="0" applyAlignment="1" pivotButton="0" quotePrefix="0" xfId="3">
      <alignment horizontal="left"/>
    </xf>
    <xf numFmtId="0" fontId="12" fillId="3" borderId="3" applyAlignment="1" pivotButton="0" quotePrefix="0" xfId="3">
      <alignment horizontal="center" vertical="center"/>
    </xf>
    <xf numFmtId="0" fontId="20" fillId="3" borderId="3" applyAlignment="1" pivotButton="0" quotePrefix="0" xfId="1">
      <alignment horizontal="left" vertical="center" wrapText="1"/>
    </xf>
    <xf numFmtId="0" fontId="12" fillId="3" borderId="3" applyAlignment="1" pivotButton="0" quotePrefix="0" xfId="3">
      <alignment horizontal="justify" vertical="center" wrapText="1"/>
    </xf>
    <xf numFmtId="0" fontId="4" fillId="0" borderId="3" pivotButton="0" quotePrefix="0" xfId="2"/>
    <xf numFmtId="0" fontId="9" fillId="3" borderId="0" pivotButton="0" quotePrefix="0" xfId="0"/>
    <xf numFmtId="0" fontId="1" fillId="0" borderId="3" pivotButton="0" quotePrefix="0" xfId="3"/>
    <xf numFmtId="0" fontId="0" fillId="0" borderId="3" pivotButton="0" quotePrefix="0" xfId="0"/>
    <xf numFmtId="0" fontId="21" fillId="3" borderId="0" applyAlignment="1" pivotButton="0" quotePrefix="0" xfId="3">
      <alignment horizontal="center" vertical="center"/>
    </xf>
    <xf numFmtId="0" fontId="22" fillId="3" borderId="0" applyAlignment="1" pivotButton="0" quotePrefix="0" xfId="1">
      <alignment horizontal="left" vertical="center" wrapText="1"/>
    </xf>
    <xf numFmtId="0" fontId="21" fillId="3" borderId="0" applyAlignment="1" pivotButton="0" quotePrefix="0" xfId="3">
      <alignment horizontal="justify" vertical="center" wrapText="1"/>
    </xf>
    <xf numFmtId="0" fontId="1" fillId="3" borderId="0" applyAlignment="1" pivotButton="0" quotePrefix="0" xfId="3">
      <alignment horizontal="left"/>
    </xf>
    <xf numFmtId="0" fontId="9" fillId="3" borderId="0" applyAlignment="1" pivotButton="0" quotePrefix="0" xfId="0">
      <alignment horizontal="center"/>
    </xf>
    <xf numFmtId="0" fontId="12" fillId="3" borderId="0" applyAlignment="1" pivotButton="0" quotePrefix="0" xfId="0">
      <alignment vertical="top"/>
    </xf>
    <xf numFmtId="10" fontId="13" fillId="3" borderId="0" applyAlignment="1" pivotButton="0" quotePrefix="0" xfId="0">
      <alignment horizontal="right" vertical="top"/>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3" applyAlignment="1" pivotButton="0" quotePrefix="0" xfId="1">
      <alignment horizontal="center" vertical="center" wrapText="1"/>
    </xf>
    <xf numFmtId="0" fontId="23" fillId="4" borderId="3" applyAlignment="1" pivotButton="0" quotePrefix="0" xfId="0">
      <alignment horizontal="center" vertical="center" wrapText="1"/>
    </xf>
    <xf numFmtId="0" fontId="10" fillId="3" borderId="6" applyAlignment="1" pivotButton="0" quotePrefix="0" xfId="0">
      <alignment horizontal="center" vertical="center" wrapText="1"/>
    </xf>
    <xf numFmtId="0" fontId="9" fillId="3" borderId="8" applyAlignment="1" pivotButton="0" quotePrefix="0" xfId="0">
      <alignment vertical="top"/>
    </xf>
    <xf numFmtId="0" fontId="9" fillId="3" borderId="9" applyAlignment="1" pivotButton="0" quotePrefix="0" xfId="0">
      <alignment vertical="top"/>
    </xf>
    <xf numFmtId="0" fontId="8" fillId="2" borderId="4" applyAlignment="1" pivotButton="0" quotePrefix="0" xfId="1">
      <alignment horizontal="center" vertical="center"/>
    </xf>
    <xf numFmtId="0" fontId="8" fillId="2" borderId="5" applyAlignment="1" pivotButton="0" quotePrefix="0" xfId="1">
      <alignment horizontal="center" vertical="center"/>
    </xf>
    <xf numFmtId="0" fontId="12" fillId="3" borderId="6" applyAlignment="1" pivotButton="0" quotePrefix="0" xfId="3">
      <alignment horizontal="justify" vertical="center" wrapText="1"/>
    </xf>
    <xf numFmtId="0" fontId="12" fillId="3" borderId="9" applyAlignment="1" pivotButton="0" quotePrefix="0" xfId="3">
      <alignment horizontal="justify" vertical="center" wrapText="1"/>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6310610"/>
          <a:ext cx="3352800" cy="46863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29"/>
  <sheetViews>
    <sheetView showGridLines="0" tabSelected="1" topLeftCell="A5" zoomScale="79" workbookViewId="0">
      <selection activeCell="B7" sqref="B7:O30"/>
    </sheetView>
  </sheetViews>
  <sheetFormatPr baseColWidth="10" defaultColWidth="9.109375" defaultRowHeight="12.75" customHeight="1"/>
  <cols>
    <col width="62.77734375" bestFit="1" customWidth="1" min="1" max="1"/>
    <col width="20.44140625" bestFit="1" customWidth="1" min="2" max="2"/>
    <col width="17.88671875" bestFit="1" customWidth="1" min="3" max="3"/>
    <col width="19.33203125" customWidth="1" min="4" max="16"/>
    <col width="6" customWidth="1" min="239" max="239"/>
    <col width="48.44140625" bestFit="1" customWidth="1" min="240" max="240"/>
    <col width="17.88671875" bestFit="1" customWidth="1" min="241" max="241"/>
    <col width="19.33203125" customWidth="1" min="242" max="253"/>
    <col width="6" customWidth="1" min="495" max="495"/>
    <col width="48.44140625" bestFit="1" customWidth="1" min="496" max="496"/>
    <col width="17.88671875" bestFit="1" customWidth="1" min="497" max="497"/>
    <col width="19.33203125" customWidth="1" min="498" max="509"/>
    <col width="6" customWidth="1" min="751" max="751"/>
    <col width="48.44140625" bestFit="1" customWidth="1" min="752" max="752"/>
    <col width="17.88671875" bestFit="1" customWidth="1" min="753" max="753"/>
    <col width="19.33203125" customWidth="1" min="754" max="765"/>
    <col width="6" customWidth="1" min="1007" max="1007"/>
    <col width="48.44140625" bestFit="1" customWidth="1" min="1008" max="1008"/>
    <col width="17.88671875" bestFit="1" customWidth="1" min="1009" max="1009"/>
    <col width="19.33203125" customWidth="1" min="1010" max="1021"/>
    <col width="6" customWidth="1" min="1263" max="1263"/>
    <col width="48.44140625" bestFit="1" customWidth="1" min="1264" max="1264"/>
    <col width="17.88671875" bestFit="1" customWidth="1" min="1265" max="1265"/>
    <col width="19.33203125" customWidth="1" min="1266" max="1277"/>
    <col width="6" customWidth="1" min="1519" max="1519"/>
    <col width="48.44140625" bestFit="1" customWidth="1" min="1520" max="1520"/>
    <col width="17.88671875" bestFit="1" customWidth="1" min="1521" max="1521"/>
    <col width="19.33203125" customWidth="1" min="1522" max="1533"/>
    <col width="6" customWidth="1" min="1775" max="1775"/>
    <col width="48.44140625" bestFit="1" customWidth="1" min="1776" max="1776"/>
    <col width="17.88671875" bestFit="1" customWidth="1" min="1777" max="1777"/>
    <col width="19.33203125" customWidth="1" min="1778" max="1789"/>
    <col width="6" customWidth="1" min="2031" max="2031"/>
    <col width="48.44140625" bestFit="1" customWidth="1" min="2032" max="2032"/>
    <col width="17.88671875" bestFit="1" customWidth="1" min="2033" max="2033"/>
    <col width="19.33203125" customWidth="1" min="2034" max="2045"/>
    <col width="6" customWidth="1" min="2287" max="2287"/>
    <col width="48.44140625" bestFit="1" customWidth="1" min="2288" max="2288"/>
    <col width="17.88671875" bestFit="1" customWidth="1" min="2289" max="2289"/>
    <col width="19.33203125" customWidth="1" min="2290" max="2301"/>
    <col width="6" customWidth="1" min="2543" max="2543"/>
    <col width="48.44140625" bestFit="1" customWidth="1" min="2544" max="2544"/>
    <col width="17.88671875" bestFit="1" customWidth="1" min="2545" max="2545"/>
    <col width="19.33203125" customWidth="1" min="2546" max="2557"/>
    <col width="6" customWidth="1" min="2799" max="2799"/>
    <col width="48.44140625" bestFit="1" customWidth="1" min="2800" max="2800"/>
    <col width="17.88671875" bestFit="1" customWidth="1" min="2801" max="2801"/>
    <col width="19.33203125" customWidth="1" min="2802" max="2813"/>
    <col width="6" customWidth="1" min="3055" max="3055"/>
    <col width="48.44140625" bestFit="1" customWidth="1" min="3056" max="3056"/>
    <col width="17.88671875" bestFit="1" customWidth="1" min="3057" max="3057"/>
    <col width="19.33203125" customWidth="1" min="3058" max="3069"/>
    <col width="6" customWidth="1" min="3311" max="3311"/>
    <col width="48.44140625" bestFit="1" customWidth="1" min="3312" max="3312"/>
    <col width="17.88671875" bestFit="1" customWidth="1" min="3313" max="3313"/>
    <col width="19.33203125" customWidth="1" min="3314" max="3325"/>
    <col width="6" customWidth="1" min="3567" max="3567"/>
    <col width="48.44140625" bestFit="1" customWidth="1" min="3568" max="3568"/>
    <col width="17.88671875" bestFit="1" customWidth="1" min="3569" max="3569"/>
    <col width="19.33203125" customWidth="1" min="3570" max="3581"/>
    <col width="6" customWidth="1" min="3823" max="3823"/>
    <col width="48.44140625" bestFit="1" customWidth="1" min="3824" max="3824"/>
    <col width="17.88671875" bestFit="1" customWidth="1" min="3825" max="3825"/>
    <col width="19.33203125" customWidth="1" min="3826" max="3837"/>
    <col width="6" customWidth="1" min="4079" max="4079"/>
    <col width="48.44140625" bestFit="1" customWidth="1" min="4080" max="4080"/>
    <col width="17.88671875" bestFit="1" customWidth="1" min="4081" max="4081"/>
    <col width="19.33203125" customWidth="1" min="4082" max="4093"/>
    <col width="6" customWidth="1" min="4335" max="4335"/>
    <col width="48.44140625" bestFit="1" customWidth="1" min="4336" max="4336"/>
    <col width="17.88671875" bestFit="1" customWidth="1" min="4337" max="4337"/>
    <col width="19.33203125" customWidth="1" min="4338" max="4349"/>
    <col width="6" customWidth="1" min="4591" max="4591"/>
    <col width="48.44140625" bestFit="1" customWidth="1" min="4592" max="4592"/>
    <col width="17.88671875" bestFit="1" customWidth="1" min="4593" max="4593"/>
    <col width="19.33203125" customWidth="1" min="4594" max="4605"/>
    <col width="6" customWidth="1" min="4847" max="4847"/>
    <col width="48.44140625" bestFit="1" customWidth="1" min="4848" max="4848"/>
    <col width="17.88671875" bestFit="1" customWidth="1" min="4849" max="4849"/>
    <col width="19.33203125" customWidth="1" min="4850" max="4861"/>
    <col width="6" customWidth="1" min="5103" max="5103"/>
    <col width="48.44140625" bestFit="1" customWidth="1" min="5104" max="5104"/>
    <col width="17.88671875" bestFit="1" customWidth="1" min="5105" max="5105"/>
    <col width="19.33203125" customWidth="1" min="5106" max="5117"/>
    <col width="6" customWidth="1" min="5359" max="5359"/>
    <col width="48.44140625" bestFit="1" customWidth="1" min="5360" max="5360"/>
    <col width="17.88671875" bestFit="1" customWidth="1" min="5361" max="5361"/>
    <col width="19.33203125" customWidth="1" min="5362" max="5373"/>
    <col width="6" customWidth="1" min="5615" max="5615"/>
    <col width="48.44140625" bestFit="1" customWidth="1" min="5616" max="5616"/>
    <col width="17.88671875" bestFit="1" customWidth="1" min="5617" max="5617"/>
    <col width="19.33203125" customWidth="1" min="5618" max="5629"/>
    <col width="6" customWidth="1" min="5871" max="5871"/>
    <col width="48.44140625" bestFit="1" customWidth="1" min="5872" max="5872"/>
    <col width="17.88671875" bestFit="1" customWidth="1" min="5873" max="5873"/>
    <col width="19.33203125" customWidth="1" min="5874" max="5885"/>
    <col width="6" customWidth="1" min="6127" max="6127"/>
    <col width="48.44140625" bestFit="1" customWidth="1" min="6128" max="6128"/>
    <col width="17.88671875" bestFit="1" customWidth="1" min="6129" max="6129"/>
    <col width="19.33203125" customWidth="1" min="6130" max="6141"/>
    <col width="6" customWidth="1" min="6383" max="6383"/>
    <col width="48.44140625" bestFit="1" customWidth="1" min="6384" max="6384"/>
    <col width="17.88671875" bestFit="1" customWidth="1" min="6385" max="6385"/>
    <col width="19.33203125" customWidth="1" min="6386" max="6397"/>
    <col width="6" customWidth="1" min="6639" max="6639"/>
    <col width="48.44140625" bestFit="1" customWidth="1" min="6640" max="6640"/>
    <col width="17.88671875" bestFit="1" customWidth="1" min="6641" max="6641"/>
    <col width="19.33203125" customWidth="1" min="6642" max="6653"/>
    <col width="6" customWidth="1" min="6895" max="6895"/>
    <col width="48.44140625" bestFit="1" customWidth="1" min="6896" max="6896"/>
    <col width="17.88671875" bestFit="1" customWidth="1" min="6897" max="6897"/>
    <col width="19.33203125" customWidth="1" min="6898" max="6909"/>
    <col width="6" customWidth="1" min="7151" max="7151"/>
    <col width="48.44140625" bestFit="1" customWidth="1" min="7152" max="7152"/>
    <col width="17.88671875" bestFit="1" customWidth="1" min="7153" max="7153"/>
    <col width="19.33203125" customWidth="1" min="7154" max="7165"/>
    <col width="6" customWidth="1" min="7407" max="7407"/>
    <col width="48.44140625" bestFit="1" customWidth="1" min="7408" max="7408"/>
    <col width="17.88671875" bestFit="1" customWidth="1" min="7409" max="7409"/>
    <col width="19.33203125" customWidth="1" min="7410" max="7421"/>
    <col width="6" customWidth="1" min="7663" max="7663"/>
    <col width="48.44140625" bestFit="1" customWidth="1" min="7664" max="7664"/>
    <col width="17.88671875" bestFit="1" customWidth="1" min="7665" max="7665"/>
    <col width="19.33203125" customWidth="1" min="7666" max="7677"/>
    <col width="6" customWidth="1" min="7919" max="7919"/>
    <col width="48.44140625" bestFit="1" customWidth="1" min="7920" max="7920"/>
    <col width="17.88671875" bestFit="1" customWidth="1" min="7921" max="7921"/>
    <col width="19.33203125" customWidth="1" min="7922" max="7933"/>
    <col width="6" customWidth="1" min="8175" max="8175"/>
    <col width="48.44140625" bestFit="1" customWidth="1" min="8176" max="8176"/>
    <col width="17.88671875" bestFit="1" customWidth="1" min="8177" max="8177"/>
    <col width="19.33203125" customWidth="1" min="8178" max="8189"/>
    <col width="6" customWidth="1" min="8431" max="8431"/>
    <col width="48.44140625" bestFit="1" customWidth="1" min="8432" max="8432"/>
    <col width="17.88671875" bestFit="1" customWidth="1" min="8433" max="8433"/>
    <col width="19.33203125" customWidth="1" min="8434" max="8445"/>
    <col width="6" customWidth="1" min="8687" max="8687"/>
    <col width="48.44140625" bestFit="1" customWidth="1" min="8688" max="8688"/>
    <col width="17.88671875" bestFit="1" customWidth="1" min="8689" max="8689"/>
    <col width="19.33203125" customWidth="1" min="8690" max="8701"/>
    <col width="6" customWidth="1" min="8943" max="8943"/>
    <col width="48.44140625" bestFit="1" customWidth="1" min="8944" max="8944"/>
    <col width="17.88671875" bestFit="1" customWidth="1" min="8945" max="8945"/>
    <col width="19.33203125" customWidth="1" min="8946" max="8957"/>
    <col width="6" customWidth="1" min="9199" max="9199"/>
    <col width="48.44140625" bestFit="1" customWidth="1" min="9200" max="9200"/>
    <col width="17.88671875" bestFit="1" customWidth="1" min="9201" max="9201"/>
    <col width="19.33203125" customWidth="1" min="9202" max="9213"/>
    <col width="6" customWidth="1" min="9455" max="9455"/>
    <col width="48.44140625" bestFit="1" customWidth="1" min="9456" max="9456"/>
    <col width="17.88671875" bestFit="1" customWidth="1" min="9457" max="9457"/>
    <col width="19.33203125" customWidth="1" min="9458" max="9469"/>
    <col width="6" customWidth="1" min="9711" max="9711"/>
    <col width="48.44140625" bestFit="1" customWidth="1" min="9712" max="9712"/>
    <col width="17.88671875" bestFit="1" customWidth="1" min="9713" max="9713"/>
    <col width="19.33203125" customWidth="1" min="9714" max="9725"/>
    <col width="6" customWidth="1" min="9967" max="9967"/>
    <col width="48.44140625" bestFit="1" customWidth="1" min="9968" max="9968"/>
    <col width="17.88671875" bestFit="1" customWidth="1" min="9969" max="9969"/>
    <col width="19.33203125" customWidth="1" min="9970" max="9981"/>
    <col width="6" customWidth="1" min="10223" max="10223"/>
    <col width="48.44140625" bestFit="1" customWidth="1" min="10224" max="10224"/>
    <col width="17.88671875" bestFit="1" customWidth="1" min="10225" max="10225"/>
    <col width="19.33203125" customWidth="1" min="10226" max="10237"/>
    <col width="6" customWidth="1" min="10479" max="10479"/>
    <col width="48.44140625" bestFit="1" customWidth="1" min="10480" max="10480"/>
    <col width="17.88671875" bestFit="1" customWidth="1" min="10481" max="10481"/>
    <col width="19.33203125" customWidth="1" min="10482" max="10493"/>
    <col width="6" customWidth="1" min="10735" max="10735"/>
    <col width="48.44140625" bestFit="1" customWidth="1" min="10736" max="10736"/>
    <col width="17.88671875" bestFit="1" customWidth="1" min="10737" max="10737"/>
    <col width="19.33203125" customWidth="1" min="10738" max="10749"/>
    <col width="6" customWidth="1" min="10991" max="10991"/>
    <col width="48.44140625" bestFit="1" customWidth="1" min="10992" max="10992"/>
    <col width="17.88671875" bestFit="1" customWidth="1" min="10993" max="10993"/>
    <col width="19.33203125" customWidth="1" min="10994" max="11005"/>
    <col width="6" customWidth="1" min="11247" max="11247"/>
    <col width="48.44140625" bestFit="1" customWidth="1" min="11248" max="11248"/>
    <col width="17.88671875" bestFit="1" customWidth="1" min="11249" max="11249"/>
    <col width="19.33203125" customWidth="1" min="11250" max="11261"/>
    <col width="6" customWidth="1" min="11503" max="11503"/>
    <col width="48.44140625" bestFit="1" customWidth="1" min="11504" max="11504"/>
    <col width="17.88671875" bestFit="1" customWidth="1" min="11505" max="11505"/>
    <col width="19.33203125" customWidth="1" min="11506" max="11517"/>
    <col width="6" customWidth="1" min="11759" max="11759"/>
    <col width="48.44140625" bestFit="1" customWidth="1" min="11760" max="11760"/>
    <col width="17.88671875" bestFit="1" customWidth="1" min="11761" max="11761"/>
    <col width="19.33203125" customWidth="1" min="11762" max="11773"/>
    <col width="6" customWidth="1" min="12015" max="12015"/>
    <col width="48.44140625" bestFit="1" customWidth="1" min="12016" max="12016"/>
    <col width="17.88671875" bestFit="1" customWidth="1" min="12017" max="12017"/>
    <col width="19.33203125" customWidth="1" min="12018" max="12029"/>
    <col width="6" customWidth="1" min="12271" max="12271"/>
    <col width="48.44140625" bestFit="1" customWidth="1" min="12272" max="12272"/>
    <col width="17.88671875" bestFit="1" customWidth="1" min="12273" max="12273"/>
    <col width="19.33203125" customWidth="1" min="12274" max="12285"/>
    <col width="6" customWidth="1" min="12527" max="12527"/>
    <col width="48.44140625" bestFit="1" customWidth="1" min="12528" max="12528"/>
    <col width="17.88671875" bestFit="1" customWidth="1" min="12529" max="12529"/>
    <col width="19.33203125" customWidth="1" min="12530" max="12541"/>
    <col width="6" customWidth="1" min="12783" max="12783"/>
    <col width="48.44140625" bestFit="1" customWidth="1" min="12784" max="12784"/>
    <col width="17.88671875" bestFit="1" customWidth="1" min="12785" max="12785"/>
    <col width="19.33203125" customWidth="1" min="12786" max="12797"/>
    <col width="6" customWidth="1" min="13039" max="13039"/>
    <col width="48.44140625" bestFit="1" customWidth="1" min="13040" max="13040"/>
    <col width="17.88671875" bestFit="1" customWidth="1" min="13041" max="13041"/>
    <col width="19.33203125" customWidth="1" min="13042" max="13053"/>
    <col width="6" customWidth="1" min="13295" max="13295"/>
    <col width="48.44140625" bestFit="1" customWidth="1" min="13296" max="13296"/>
    <col width="17.88671875" bestFit="1" customWidth="1" min="13297" max="13297"/>
    <col width="19.33203125" customWidth="1" min="13298" max="13309"/>
    <col width="6" customWidth="1" min="13551" max="13551"/>
    <col width="48.44140625" bestFit="1" customWidth="1" min="13552" max="13552"/>
    <col width="17.88671875" bestFit="1" customWidth="1" min="13553" max="13553"/>
    <col width="19.33203125" customWidth="1" min="13554" max="13565"/>
    <col width="6" customWidth="1" min="13807" max="13807"/>
    <col width="48.44140625" bestFit="1" customWidth="1" min="13808" max="13808"/>
    <col width="17.88671875" bestFit="1" customWidth="1" min="13809" max="13809"/>
    <col width="19.33203125" customWidth="1" min="13810" max="13821"/>
    <col width="6" customWidth="1" min="14063" max="14063"/>
    <col width="48.44140625" bestFit="1" customWidth="1" min="14064" max="14064"/>
    <col width="17.88671875" bestFit="1" customWidth="1" min="14065" max="14065"/>
    <col width="19.33203125" customWidth="1" min="14066" max="14077"/>
    <col width="6" customWidth="1" min="14319" max="14319"/>
    <col width="48.44140625" bestFit="1" customWidth="1" min="14320" max="14320"/>
    <col width="17.88671875" bestFit="1" customWidth="1" min="14321" max="14321"/>
    <col width="19.33203125" customWidth="1" min="14322" max="14333"/>
    <col width="6" customWidth="1" min="14575" max="14575"/>
    <col width="48.44140625" bestFit="1" customWidth="1" min="14576" max="14576"/>
    <col width="17.88671875" bestFit="1" customWidth="1" min="14577" max="14577"/>
    <col width="19.33203125" customWidth="1" min="14578" max="14589"/>
    <col width="6" customWidth="1" min="14831" max="14831"/>
    <col width="48.44140625" bestFit="1" customWidth="1" min="14832" max="14832"/>
    <col width="17.88671875" bestFit="1" customWidth="1" min="14833" max="14833"/>
    <col width="19.33203125" customWidth="1" min="14834" max="14845"/>
    <col width="6" customWidth="1" min="15087" max="15087"/>
    <col width="48.44140625" bestFit="1" customWidth="1" min="15088" max="15088"/>
    <col width="17.88671875" bestFit="1" customWidth="1" min="15089" max="15089"/>
    <col width="19.33203125" customWidth="1" min="15090" max="15101"/>
    <col width="6" customWidth="1" min="15343" max="15343"/>
    <col width="48.44140625" bestFit="1" customWidth="1" min="15344" max="15344"/>
    <col width="17.88671875" bestFit="1" customWidth="1" min="15345" max="15345"/>
    <col width="19.33203125" customWidth="1" min="15346" max="15357"/>
    <col width="6" customWidth="1" min="15599" max="15599"/>
    <col width="48.44140625" bestFit="1" customWidth="1" min="15600" max="15600"/>
    <col width="17.88671875" bestFit="1" customWidth="1" min="15601" max="15601"/>
    <col width="19.33203125" customWidth="1" min="15602" max="15613"/>
    <col width="6" customWidth="1" min="15855" max="15855"/>
    <col width="48.44140625" bestFit="1" customWidth="1" min="15856" max="15856"/>
    <col width="17.88671875" bestFit="1" customWidth="1" min="15857" max="15857"/>
    <col width="19.33203125" customWidth="1" min="15858" max="15869"/>
    <col width="6" customWidth="1" min="16111" max="16111"/>
    <col width="48.44140625" bestFit="1" customWidth="1" min="16112" max="16112"/>
    <col width="17.88671875" bestFit="1" customWidth="1" min="16113" max="16113"/>
    <col width="19.33203125" customWidth="1" min="16114" max="16125"/>
  </cols>
  <sheetData>
    <row r="1" ht="33" customHeight="1">
      <c r="A1" s="36" t="inlineStr">
        <is>
          <t>Indicador</t>
        </is>
      </c>
      <c r="B1" s="36" t="inlineStr">
        <is>
          <t>Banco Agrícola, S.A.</t>
        </is>
      </c>
      <c r="C1" s="36" t="inlineStr">
        <is>
          <t>Banco Cuscatlán de El Salvador, S.A.</t>
        </is>
      </c>
      <c r="D1" s="36" t="inlineStr">
        <is>
          <t>Banco Davivienda Salvadoreño, S.A.</t>
        </is>
      </c>
      <c r="E1" s="36" t="inlineStr">
        <is>
          <t>Banco Hipotecario de El Salvador, S.A.</t>
        </is>
      </c>
      <c r="F1" s="36" t="inlineStr">
        <is>
          <t>Citibank N.A., Sucursal El Salvador</t>
        </is>
      </c>
      <c r="G1" s="36" t="inlineStr">
        <is>
          <t>Banco de Fomento Agropecuario</t>
        </is>
      </c>
      <c r="H1" s="36" t="inlineStr">
        <is>
          <t>Banco Promérica, S.A.</t>
        </is>
      </c>
      <c r="I1" s="36" t="inlineStr">
        <is>
          <t>Banco de América Central, S.A.</t>
        </is>
      </c>
      <c r="J1" s="36" t="inlineStr">
        <is>
          <t xml:space="preserve">Banco Abank, S.A.  </t>
        </is>
      </c>
      <c r="K1" s="36" t="inlineStr">
        <is>
          <t xml:space="preserve">Banco Industrial El Salvador, S.A. </t>
        </is>
      </c>
      <c r="L1" s="36" t="inlineStr">
        <is>
          <t>Banco Azul El Salvador, S.A.</t>
        </is>
      </c>
      <c r="M1" s="37" t="inlineStr">
        <is>
          <t>Banco Apoyo Integral, S.A.</t>
        </is>
      </c>
      <c r="N1" s="37" t="inlineStr">
        <is>
          <t>Banco Atlántida El Salvador, S.A.</t>
        </is>
      </c>
      <c r="O1" s="36" t="inlineStr">
        <is>
          <t>Sistema Bancario</t>
        </is>
      </c>
    </row>
    <row r="2" ht="15.6" customHeight="1">
      <c r="A2" s="39" t="inlineStr">
        <is>
          <t>Coeficiente patrimonial</t>
        </is>
      </c>
      <c r="B2" s="45" t="n">
        <v>0.13377197718662</v>
      </c>
      <c r="C2" s="45" t="n">
        <v>0.13713504597029</v>
      </c>
      <c r="D2" s="45" t="n">
        <v>0.14439403503439</v>
      </c>
      <c r="E2" s="45" t="n">
        <v>0.19723186982699</v>
      </c>
      <c r="F2" s="45" t="n">
        <v>0.96104295609958</v>
      </c>
      <c r="G2" s="45" t="n">
        <v>0.16415678633966</v>
      </c>
      <c r="H2" s="45" t="n">
        <v>0.13930929685356</v>
      </c>
      <c r="I2" s="45" t="n">
        <v>0.12285280659986</v>
      </c>
      <c r="J2" s="45" t="n">
        <v>0.22431397208654</v>
      </c>
      <c r="K2" s="45" t="n">
        <v>0.14718121846945</v>
      </c>
      <c r="L2" s="45" t="n">
        <v>0.1548901485207</v>
      </c>
      <c r="M2" s="45" t="n">
        <v>0.16898743163313</v>
      </c>
      <c r="N2" s="45" t="n">
        <v>0.12230360827635</v>
      </c>
      <c r="O2" s="45" t="n">
        <v>0.14248169985357</v>
      </c>
    </row>
    <row r="3" ht="16.5" customHeight="1">
      <c r="A3" s="39" t="inlineStr">
        <is>
          <t>Endeudamiento legal</t>
        </is>
      </c>
      <c r="B3" s="45" t="n">
        <v>0.10378760881512</v>
      </c>
      <c r="C3" s="45" t="n">
        <v>0.10921090791036</v>
      </c>
      <c r="D3" s="45" t="n">
        <v>0.11366626102748</v>
      </c>
      <c r="E3" s="45" t="n">
        <v>0.09175183211024</v>
      </c>
      <c r="F3" s="45" t="n">
        <v>0.28020588155046</v>
      </c>
      <c r="G3" s="45" t="n">
        <v>0.14695726707126</v>
      </c>
      <c r="H3" s="45" t="n">
        <v>0.10946366410763</v>
      </c>
      <c r="I3" s="45" t="n">
        <v>0.10093913520594</v>
      </c>
      <c r="J3" s="45" t="n">
        <v>0.18710604189555</v>
      </c>
      <c r="K3" s="45" t="n">
        <v>0.13136184439383</v>
      </c>
      <c r="L3" s="45" t="n">
        <v>0.10838925489771</v>
      </c>
      <c r="M3" s="45" t="n">
        <v>0.15812265832084</v>
      </c>
      <c r="N3" s="45" t="n">
        <v>0.09821794986547</v>
      </c>
      <c r="O3" s="45" t="n">
        <v>0.10865091402718</v>
      </c>
    </row>
    <row r="4" ht="16.5" customHeight="1">
      <c r="A4" s="39" t="inlineStr">
        <is>
          <t>Inversión en activos fijos</t>
        </is>
      </c>
      <c r="B4" s="45" t="n">
        <v>0.21565738821467</v>
      </c>
      <c r="C4" s="45" t="n">
        <v>0.24627802704623</v>
      </c>
      <c r="D4" s="45" t="n">
        <v>0.17392712966647</v>
      </c>
      <c r="E4" s="45" t="n">
        <v>0.09803022673038</v>
      </c>
      <c r="F4" s="45" t="n">
        <v>0.05167130927065</v>
      </c>
      <c r="G4" s="45" t="n">
        <v>0.24410453937602</v>
      </c>
      <c r="H4" s="45" t="n">
        <v>0.19331600567243</v>
      </c>
      <c r="I4" s="45" t="n">
        <v>0.14205377448366</v>
      </c>
      <c r="J4" s="45" t="n">
        <v>0.24911689208939</v>
      </c>
      <c r="K4" s="45" t="n">
        <v>0.09612069654375001</v>
      </c>
      <c r="L4" s="45" t="n">
        <v>0.24858910645153</v>
      </c>
      <c r="M4" s="45" t="n">
        <v>0.24183369203167</v>
      </c>
      <c r="N4" s="45" t="n">
        <v>0.2187017836377</v>
      </c>
      <c r="O4" s="45" t="n">
        <v>0.18980826994145</v>
      </c>
    </row>
    <row r="5" ht="57.6" customHeight="1">
      <c r="A5" s="39" t="inlineStr">
        <is>
          <t>Lim operac interban activas</t>
        </is>
      </c>
      <c r="B5" s="45" t="n">
        <v>0.00157208872043</v>
      </c>
      <c r="C5" s="45" t="n">
        <v>0</v>
      </c>
      <c r="D5" s="45" t="n">
        <v>0</v>
      </c>
      <c r="E5" s="46" t="n">
        <v>0</v>
      </c>
      <c r="F5" s="46" t="n">
        <v>0</v>
      </c>
      <c r="G5" s="46" t="n">
        <v>0</v>
      </c>
      <c r="H5" s="46" t="n">
        <v>0</v>
      </c>
      <c r="I5" s="46" t="n">
        <v>0</v>
      </c>
      <c r="J5" s="46" t="n">
        <v>0</v>
      </c>
      <c r="K5" s="45" t="n">
        <v>0</v>
      </c>
      <c r="L5" s="46" t="n">
        <v>0</v>
      </c>
      <c r="M5" s="46" t="n">
        <v>0</v>
      </c>
      <c r="N5" s="46" t="n">
        <v>0</v>
      </c>
      <c r="O5" s="46" t="n">
        <v>0.00036521724805</v>
      </c>
    </row>
    <row r="6" ht="16.5" customHeight="1">
      <c r="A6" s="39" t="inlineStr">
        <is>
          <t>Lim operac interban pasivas</t>
        </is>
      </c>
      <c r="B6" s="45" t="n">
        <v>0</v>
      </c>
      <c r="C6" s="45" t="n">
        <v>0</v>
      </c>
      <c r="D6" s="45" t="n">
        <v>0</v>
      </c>
      <c r="E6" s="46" t="n">
        <v>0</v>
      </c>
      <c r="F6" s="46" t="n">
        <v>0</v>
      </c>
      <c r="G6" s="46" t="n">
        <v>0</v>
      </c>
      <c r="H6" s="46" t="n">
        <v>0</v>
      </c>
      <c r="I6" s="46" t="n">
        <v>0</v>
      </c>
      <c r="J6" s="46" t="n">
        <v>0.0256673268273</v>
      </c>
      <c r="K6" s="45" t="n">
        <v>0</v>
      </c>
      <c r="L6" s="46" t="n">
        <v>0</v>
      </c>
      <c r="M6" s="46" t="n">
        <v>0</v>
      </c>
      <c r="N6" s="46" t="n">
        <v>0</v>
      </c>
      <c r="O6" s="46" t="n">
        <v>0.00032873200751</v>
      </c>
    </row>
    <row r="7" ht="15" customHeight="1">
      <c r="A7" s="39" t="inlineStr">
        <is>
          <t>Productividad de préstamos</t>
        </is>
      </c>
      <c r="B7" s="45" t="n">
        <v>0.10510933145852</v>
      </c>
      <c r="C7" s="45" t="n">
        <v>0.0979340379097</v>
      </c>
      <c r="D7" s="45" t="n">
        <v>0.10484540426189</v>
      </c>
      <c r="E7" s="45" t="n">
        <v>0.09204776326834001</v>
      </c>
      <c r="F7" s="45" t="n">
        <v>0.08231229318803</v>
      </c>
      <c r="G7" s="45" t="n">
        <v>0.12046940719469</v>
      </c>
      <c r="H7" s="45" t="n">
        <v>0.1196104665487</v>
      </c>
      <c r="I7" s="45" t="n">
        <v>0.10427673858713</v>
      </c>
      <c r="J7" s="45" t="n">
        <v>0.32299959829368</v>
      </c>
      <c r="K7" s="45" t="n">
        <v>0.08078814159662001</v>
      </c>
      <c r="L7" s="45" t="n">
        <v>0.10779378271302</v>
      </c>
      <c r="M7" s="45" t="n">
        <v>0.21262734945587</v>
      </c>
      <c r="N7" s="45" t="n">
        <v>0.09176761777634</v>
      </c>
      <c r="O7" s="45" t="n">
        <v>0.10536998489961</v>
      </c>
    </row>
    <row r="8" ht="15" customHeight="1">
      <c r="A8" s="39" t="inlineStr">
        <is>
          <t>Rendimiento activos productivos</t>
        </is>
      </c>
      <c r="B8" s="45" t="n">
        <v>0.10380839421171</v>
      </c>
      <c r="C8" s="45" t="n">
        <v>0.10060713510689</v>
      </c>
      <c r="D8" s="45" t="n">
        <v>0.10289349169396</v>
      </c>
      <c r="E8" s="45" t="n">
        <v>0.09318077509136</v>
      </c>
      <c r="F8" s="45" t="n">
        <v>0.09538572426181</v>
      </c>
      <c r="G8" s="45" t="n">
        <v>0.12896871621927</v>
      </c>
      <c r="H8" s="45" t="n">
        <v>0.12108268454303</v>
      </c>
      <c r="I8" s="45" t="n">
        <v>0.10389769260646</v>
      </c>
      <c r="J8" s="45" t="n">
        <v>0.27079090347055</v>
      </c>
      <c r="K8" s="45" t="n">
        <v>0.08282683514632999</v>
      </c>
      <c r="L8" s="45" t="n">
        <v>0.10577743584152</v>
      </c>
      <c r="M8" s="45" t="n">
        <v>0.21737466336501</v>
      </c>
      <c r="N8" s="45" t="n">
        <v>0.09409378869012</v>
      </c>
      <c r="O8" s="45" t="n">
        <v>0.10479096883063</v>
      </c>
    </row>
    <row r="9" ht="15" customHeight="1">
      <c r="A9" s="39" t="inlineStr">
        <is>
          <t>Costo financiero</t>
        </is>
      </c>
      <c r="B9" s="45" t="n">
        <v>0.02225157286053</v>
      </c>
      <c r="C9" s="45" t="n">
        <v>0.03322472454126</v>
      </c>
      <c r="D9" s="45" t="n">
        <v>0.04164634975020001</v>
      </c>
      <c r="E9" s="45" t="n">
        <v>0.05292061271775</v>
      </c>
      <c r="F9" s="45" t="n">
        <v>0.00772630374822</v>
      </c>
      <c r="G9" s="45" t="n">
        <v>0.02367143793462</v>
      </c>
      <c r="H9" s="45" t="n">
        <v>0.05690261487841</v>
      </c>
      <c r="I9" s="45" t="n">
        <v>0.03543265399525</v>
      </c>
      <c r="J9" s="45" t="n">
        <v>0.06249021612667</v>
      </c>
      <c r="K9" s="45" t="n">
        <v>0.0486929920718</v>
      </c>
      <c r="L9" s="45" t="n">
        <v>0.05581793838317</v>
      </c>
      <c r="M9" s="45" t="n">
        <v>0.06213220032843</v>
      </c>
      <c r="N9" s="45" t="n">
        <v>0.06085821909023</v>
      </c>
      <c r="O9" s="45" t="n">
        <v>0.03801823016184</v>
      </c>
    </row>
    <row r="10" ht="15" customHeight="1">
      <c r="A10" s="39" t="inlineStr">
        <is>
          <t>Costo de depósitos</t>
        </is>
      </c>
      <c r="B10" s="45" t="n">
        <v>0.01342377739175</v>
      </c>
      <c r="C10" s="45" t="n">
        <v>0.02009278395032</v>
      </c>
      <c r="D10" s="45" t="n">
        <v>0.03228327108563</v>
      </c>
      <c r="E10" s="45" t="n">
        <v>0.03566831652996</v>
      </c>
      <c r="F10" s="45" t="n">
        <v>0.00114416570397</v>
      </c>
      <c r="G10" s="45" t="n">
        <v>0.01407798520902</v>
      </c>
      <c r="H10" s="45" t="n">
        <v>0.02958056366802</v>
      </c>
      <c r="I10" s="45" t="n">
        <v>0.02686759563264</v>
      </c>
      <c r="J10" s="45" t="n">
        <v>0.05552770186064</v>
      </c>
      <c r="K10" s="45" t="n">
        <v>0.04035747375264</v>
      </c>
      <c r="L10" s="45" t="n">
        <v>0.04600597536291</v>
      </c>
      <c r="M10" s="45" t="n">
        <v>0.04826811809173</v>
      </c>
      <c r="N10" s="45" t="n">
        <v>0.04840182082574999</v>
      </c>
      <c r="O10" s="45" t="n">
        <v>0.02594361627319</v>
      </c>
    </row>
    <row r="11" ht="15" customHeight="1">
      <c r="A11" s="39" t="inlineStr">
        <is>
          <t>Capacidad absorc. saneamientos</t>
        </is>
      </c>
      <c r="B11" s="45" t="n">
        <v>0.22233979305438</v>
      </c>
      <c r="C11" s="45" t="n">
        <v>0.21991758967079</v>
      </c>
      <c r="D11" s="45" t="n">
        <v>0.36340152565299</v>
      </c>
      <c r="E11" s="45" t="n">
        <v>0.34657460014776</v>
      </c>
      <c r="F11" s="45" t="n">
        <v>0</v>
      </c>
      <c r="G11" s="45" t="n">
        <v>0.02730422301796</v>
      </c>
      <c r="H11" s="45" t="n">
        <v>0.33904377298279</v>
      </c>
      <c r="I11" s="45" t="n">
        <v>0.21874561159407</v>
      </c>
      <c r="J11" s="45" t="n">
        <v>0.36100195234216</v>
      </c>
      <c r="K11" s="45" t="n">
        <v>0.02756378496907</v>
      </c>
      <c r="L11" s="45" t="n">
        <v>0.20749833562653</v>
      </c>
      <c r="M11" s="45" t="n">
        <v>0.20527723816196</v>
      </c>
      <c r="N11" s="45" t="n">
        <v>0.04145787266914</v>
      </c>
      <c r="O11" s="45" t="n">
        <v>0.23815658841141</v>
      </c>
    </row>
    <row r="12" ht="15" customHeight="1">
      <c r="A12" s="39" t="inlineStr">
        <is>
          <t>Capacidad absorc. gastos de operación</t>
        </is>
      </c>
      <c r="B12" s="45" t="n">
        <v>0.48185840634836</v>
      </c>
      <c r="C12" s="45" t="n">
        <v>0.59759681455886</v>
      </c>
      <c r="D12" s="45" t="n">
        <v>0.59528656965461</v>
      </c>
      <c r="E12" s="45" t="n">
        <v>0.48891920528329</v>
      </c>
      <c r="F12" s="45" t="n">
        <v>0.6013291859744799</v>
      </c>
      <c r="G12" s="45" t="n">
        <v>0.75479946104438</v>
      </c>
      <c r="H12" s="45" t="n">
        <v>0.7938833911069401</v>
      </c>
      <c r="I12" s="45" t="n">
        <v>0.7110710825813701</v>
      </c>
      <c r="J12" s="45" t="n">
        <v>0.60542608833154</v>
      </c>
      <c r="K12" s="45" t="n">
        <v>0.5749488227932</v>
      </c>
      <c r="L12" s="45" t="n">
        <v>0.62251624563791</v>
      </c>
      <c r="M12" s="45" t="n">
        <v>0.6563557774369499</v>
      </c>
      <c r="N12" s="45" t="n">
        <v>1.06193493871289</v>
      </c>
      <c r="O12" s="45" t="n">
        <v>0.6034732664564</v>
      </c>
    </row>
    <row r="13" ht="15" customHeight="1">
      <c r="A13" s="39" t="inlineStr">
        <is>
          <t>Retorno patrimonial anualizado</t>
        </is>
      </c>
      <c r="B13" s="45" t="n">
        <v>0.25576239896888</v>
      </c>
      <c r="C13" s="45" t="n">
        <v>0.13956261130423</v>
      </c>
      <c r="D13" s="45" t="n">
        <v>0.09497291651673001</v>
      </c>
      <c r="E13" s="45" t="n">
        <v>0.11823107934088</v>
      </c>
      <c r="F13" s="45" t="n">
        <v>0.16278348518679</v>
      </c>
      <c r="G13" s="45" t="n">
        <v>0.10820837141536</v>
      </c>
      <c r="H13" s="45" t="n">
        <v>0.08023923757719001</v>
      </c>
      <c r="I13" s="45" t="n">
        <v>0.1201296709876</v>
      </c>
      <c r="J13" s="45" t="n">
        <v>0.11070213897926</v>
      </c>
      <c r="K13" s="45" t="n">
        <v>0.0747640824319</v>
      </c>
      <c r="L13" s="45" t="n">
        <v>0.09793945585805</v>
      </c>
      <c r="M13" s="45" t="n">
        <v>0.10544541529799</v>
      </c>
      <c r="N13" s="45" t="n">
        <v>0.02367710156869</v>
      </c>
      <c r="O13" s="45" t="n">
        <v>0.14037533490165</v>
      </c>
    </row>
    <row r="14" ht="15" customHeight="1">
      <c r="A14" s="39" t="inlineStr">
        <is>
          <t xml:space="preserve">Retorno patrimonial mensual </t>
        </is>
      </c>
      <c r="B14" s="45" t="n">
        <v>0.10656766623848</v>
      </c>
      <c r="C14" s="45" t="n">
        <v>0.05815108801483</v>
      </c>
      <c r="D14" s="45" t="n">
        <v>0.03957204859383</v>
      </c>
      <c r="E14" s="45" t="n">
        <v>0.04926294971753</v>
      </c>
      <c r="F14" s="45" t="n">
        <v>0.06782645250069</v>
      </c>
      <c r="G14" s="45" t="n">
        <v>0.0450868216817</v>
      </c>
      <c r="H14" s="45" t="n">
        <v>0.03343301580333</v>
      </c>
      <c r="I14" s="45" t="n">
        <v>0.05005402957159</v>
      </c>
      <c r="J14" s="45" t="n">
        <v>0.04612589076843</v>
      </c>
      <c r="K14" s="45" t="n">
        <v>0.03115170109957</v>
      </c>
      <c r="L14" s="45" t="n">
        <v>0.04080810644071</v>
      </c>
      <c r="M14" s="45" t="n">
        <v>0.04393558966433</v>
      </c>
      <c r="N14" s="45" t="n">
        <v>0.00986545917937</v>
      </c>
      <c r="O14" s="45" t="n">
        <v>0.05848972289492</v>
      </c>
    </row>
    <row r="15" ht="15" customHeight="1">
      <c r="A15" s="39" t="inlineStr">
        <is>
          <t>Componente extraordinario en utilidades 1/</t>
        </is>
      </c>
      <c r="B15" s="45" t="n">
        <v>0.21124319456428</v>
      </c>
      <c r="C15" s="45" t="n">
        <v>0.34752215282646</v>
      </c>
      <c r="D15" s="45" t="n">
        <v>0.82154438184822</v>
      </c>
      <c r="E15" s="45" t="n">
        <v>0.52624923386199</v>
      </c>
      <c r="F15" s="45" t="n">
        <v>0.06199959773426</v>
      </c>
      <c r="G15" s="45" t="n">
        <v>0.16872950931147</v>
      </c>
      <c r="H15" s="45" t="n">
        <v>0.64930241973445</v>
      </c>
      <c r="I15" s="45" t="n">
        <v>0.45080728596916</v>
      </c>
      <c r="J15" s="45" t="n">
        <v>0.49821887086748</v>
      </c>
      <c r="K15" s="45" t="n">
        <v>0.01077619952466</v>
      </c>
      <c r="L15" s="45" t="n">
        <v>0.21563379262831</v>
      </c>
      <c r="M15" s="45" t="n">
        <v>0.84032057196113</v>
      </c>
      <c r="N15" s="45" t="n">
        <v>1.14743669034319</v>
      </c>
      <c r="O15" s="45" t="n">
        <v>0.36385249522837</v>
      </c>
    </row>
    <row r="16" ht="15" customHeight="1">
      <c r="A16" s="39" t="inlineStr">
        <is>
          <t>Retorno sobre capital primario anualizado</t>
        </is>
      </c>
      <c r="B16" s="45" t="n">
        <v>0.32177585193059</v>
      </c>
      <c r="C16" s="45" t="n">
        <v>0.22066442532532</v>
      </c>
      <c r="D16" s="45" t="n">
        <v>0.1087196100908</v>
      </c>
      <c r="E16" s="45" t="n">
        <v>0.16569568652033</v>
      </c>
      <c r="F16" s="45" t="n">
        <v>0.2760378810909</v>
      </c>
      <c r="G16" s="45" t="n">
        <v>0.16433380207474</v>
      </c>
      <c r="H16" s="45" t="n">
        <v>0.09691978796055001</v>
      </c>
      <c r="I16" s="45" t="n">
        <v>0.22694086751417</v>
      </c>
      <c r="J16" s="45" t="n">
        <v>0.13288614708791</v>
      </c>
      <c r="K16" s="45" t="n">
        <v>0.10686941931879</v>
      </c>
      <c r="L16" s="45" t="n">
        <v>0.11371680109721</v>
      </c>
      <c r="M16" s="45" t="n">
        <v>0.15480903691785</v>
      </c>
      <c r="N16" s="45" t="n">
        <v>0.02628467482851</v>
      </c>
      <c r="O16" s="45" t="n">
        <v>0.19247999085131</v>
      </c>
    </row>
    <row r="17" ht="15" customHeight="1">
      <c r="A17" s="39" t="inlineStr">
        <is>
          <t xml:space="preserve">Retorno sobre capital primario mensual </t>
        </is>
      </c>
      <c r="B17" s="45" t="n">
        <v>0.13407327163957</v>
      </c>
      <c r="C17" s="45" t="n">
        <v>0.091943510507</v>
      </c>
      <c r="D17" s="45" t="n">
        <v>0.04529983758957</v>
      </c>
      <c r="E17" s="45" t="n">
        <v>0.06903986937249</v>
      </c>
      <c r="F17" s="45" t="n">
        <v>0.11501578436363</v>
      </c>
      <c r="G17" s="45" t="n">
        <v>0.06847241792392</v>
      </c>
      <c r="H17" s="45" t="n">
        <v>0.04038324516011001</v>
      </c>
      <c r="I17" s="45" t="n">
        <v>0.09455869478513999</v>
      </c>
      <c r="J17" s="45" t="n">
        <v>0.0553692273856</v>
      </c>
      <c r="K17" s="45" t="n">
        <v>0.04452892483949</v>
      </c>
      <c r="L17" s="45" t="n">
        <v>0.04738200026349</v>
      </c>
      <c r="M17" s="45" t="n">
        <v>0.06450376531905999</v>
      </c>
      <c r="N17" s="45" t="n">
        <v>0.01095194805881</v>
      </c>
      <c r="O17" s="45" t="n">
        <v>0.08019999621442001</v>
      </c>
    </row>
    <row r="18" ht="15" customHeight="1">
      <c r="A18" s="39" t="inlineStr">
        <is>
          <t>Retorno sobre activos anualizado</t>
        </is>
      </c>
      <c r="B18" s="45" t="n">
        <v>0.02302466203516</v>
      </c>
      <c r="C18" s="45" t="n">
        <v>0.01468768957621</v>
      </c>
      <c r="D18" s="45" t="n">
        <v>0.01054783468027</v>
      </c>
      <c r="E18" s="45" t="n">
        <v>0.01017092903068</v>
      </c>
      <c r="F18" s="45" t="n">
        <v>0.03711472419952</v>
      </c>
      <c r="G18" s="45" t="n">
        <v>0.01450095737838</v>
      </c>
      <c r="H18" s="45" t="n">
        <v>0.006235984761110001</v>
      </c>
      <c r="I18" s="45" t="n">
        <v>0.01188558499121</v>
      </c>
      <c r="J18" s="45" t="n">
        <v>0.01734769771048</v>
      </c>
      <c r="K18" s="45" t="n">
        <v>0.00888489797355</v>
      </c>
      <c r="L18" s="45" t="n">
        <v>0.009808086802779999</v>
      </c>
      <c r="M18" s="45" t="n">
        <v>0.01457766626369</v>
      </c>
      <c r="N18" s="45" t="n">
        <v>0.00223427396772</v>
      </c>
      <c r="O18" s="45" t="n">
        <v>0.01404346987715</v>
      </c>
    </row>
    <row r="19" ht="12.75" customHeight="1">
      <c r="A19" s="39" t="inlineStr">
        <is>
          <t>Retorno sobre activos mensual</t>
        </is>
      </c>
      <c r="B19" s="45" t="n">
        <v>0.00959360918144</v>
      </c>
      <c r="C19" s="45" t="n">
        <v>0.006119870653740001</v>
      </c>
      <c r="D19" s="45" t="n">
        <v>0.00439493112179</v>
      </c>
      <c r="E19" s="45" t="n">
        <v>0.00423788709544</v>
      </c>
      <c r="F19" s="45" t="n">
        <v>0.01546446849388</v>
      </c>
      <c r="G19" s="45" t="n">
        <v>0.006042065608979999</v>
      </c>
      <c r="H19" s="45" t="n">
        <v>0.00259832699515</v>
      </c>
      <c r="I19" s="45" t="n">
        <v>0.00495232707902</v>
      </c>
      <c r="J19" s="45" t="n">
        <v>0.007228207305249999</v>
      </c>
      <c r="K19" s="45" t="n">
        <v>0.00370204083256</v>
      </c>
      <c r="L19" s="45" t="n">
        <v>0.00408670281778</v>
      </c>
      <c r="M19" s="45" t="n">
        <v>0.0060740276039</v>
      </c>
      <c r="N19" s="45" t="n">
        <v>0.0009309475047</v>
      </c>
      <c r="O19" s="45" t="n">
        <v>0.005851445784069999</v>
      </c>
    </row>
    <row r="20" ht="12.75" customHeight="1">
      <c r="A20" s="39" t="inlineStr">
        <is>
          <t>Margen financiero</t>
        </is>
      </c>
      <c r="B20" s="45" t="n">
        <v>0.08155682135117001</v>
      </c>
      <c r="C20" s="45" t="n">
        <v>0.06738241056562</v>
      </c>
      <c r="D20" s="45" t="n">
        <v>0.06124714194376</v>
      </c>
      <c r="E20" s="45" t="n">
        <v>0.0402601623736</v>
      </c>
      <c r="F20" s="45" t="n">
        <v>0.08765942051358</v>
      </c>
      <c r="G20" s="45" t="n">
        <v>0.10529727828465</v>
      </c>
      <c r="H20" s="45" t="n">
        <v>0.06418006966462</v>
      </c>
      <c r="I20" s="45" t="n">
        <v>0.0684650386112</v>
      </c>
      <c r="J20" s="45" t="n">
        <v>0.20830068734388</v>
      </c>
      <c r="K20" s="45" t="n">
        <v>0.03413384307453</v>
      </c>
      <c r="L20" s="45" t="n">
        <v>0.04995949745835</v>
      </c>
      <c r="M20" s="45" t="n">
        <v>0.15524246303658</v>
      </c>
      <c r="N20" s="45" t="n">
        <v>0.03323556959989</v>
      </c>
      <c r="O20" s="45" t="n">
        <v>0.06677273866878</v>
      </c>
    </row>
    <row r="21" ht="12.75" customHeight="1">
      <c r="A21" s="39" t="inlineStr">
        <is>
          <t>Suficiencia de reservas</t>
        </is>
      </c>
      <c r="B21" s="45" t="n">
        <v>0.02289685104197</v>
      </c>
      <c r="C21" s="45" t="n">
        <v>0.02713118884755</v>
      </c>
      <c r="D21" s="45" t="n">
        <v>0.02830267160023</v>
      </c>
      <c r="E21" s="45" t="n">
        <v>0.04946495591127</v>
      </c>
      <c r="F21" s="45" t="n">
        <v>0</v>
      </c>
      <c r="G21" s="45" t="n">
        <v>0.02804677143998</v>
      </c>
      <c r="H21" s="45" t="n">
        <v>0.02221286793183</v>
      </c>
      <c r="I21" s="45" t="n">
        <v>0.01561902393786</v>
      </c>
      <c r="J21" s="45" t="n">
        <v>0.0563887754633</v>
      </c>
      <c r="K21" s="45" t="n">
        <v>0.00521394120578</v>
      </c>
      <c r="L21" s="45" t="n">
        <v>0.0293781515326</v>
      </c>
      <c r="M21" s="45" t="n">
        <v>0.01868028680866</v>
      </c>
      <c r="N21" s="45" t="n">
        <v>0.00649323705106</v>
      </c>
      <c r="O21" s="45" t="n">
        <v>0.02364321029378</v>
      </c>
    </row>
    <row r="22" ht="12.75" customHeight="1">
      <c r="A22" s="39" t="inlineStr">
        <is>
          <t>Indice de vencimiento</t>
        </is>
      </c>
      <c r="B22" s="45" t="n">
        <v>0.009681023203300001</v>
      </c>
      <c r="C22" s="45" t="n">
        <v>0.0120587439259</v>
      </c>
      <c r="D22" s="45" t="n">
        <v>0.0247061596381</v>
      </c>
      <c r="E22" s="45" t="n">
        <v>0.03857633870787</v>
      </c>
      <c r="F22" s="45" t="n">
        <v>0</v>
      </c>
      <c r="G22" s="45" t="n">
        <v>0.02676978323888</v>
      </c>
      <c r="H22" s="45" t="n">
        <v>0.01960360828671</v>
      </c>
      <c r="I22" s="45" t="n">
        <v>0.01304450431808</v>
      </c>
      <c r="J22" s="45" t="n">
        <v>0.03248402598557</v>
      </c>
      <c r="K22" s="45" t="n">
        <v>0.00220541159381</v>
      </c>
      <c r="L22" s="45" t="n">
        <v>0.02356834900492</v>
      </c>
      <c r="M22" s="45" t="n">
        <v>0.01746530210879</v>
      </c>
      <c r="N22" s="45" t="n">
        <v>0.00389143773272</v>
      </c>
      <c r="O22" s="45" t="n">
        <v>0.01541285969453</v>
      </c>
    </row>
    <row r="23" ht="12.75" customHeight="1">
      <c r="A23" s="39" t="inlineStr">
        <is>
          <t>Cobertura de reservas</t>
        </is>
      </c>
      <c r="B23" s="45" t="n">
        <v>2.36512717314498</v>
      </c>
      <c r="C23" s="45" t="n">
        <v>2.24991831771716</v>
      </c>
      <c r="D23" s="45" t="n">
        <v>1.14557146941527</v>
      </c>
      <c r="E23" s="45" t="n">
        <v>1.28226155120264</v>
      </c>
      <c r="F23" s="45" t="inlineStr">
        <is>
          <t>/0</t>
        </is>
      </c>
      <c r="G23" s="45" t="n">
        <v>1.04770259772772</v>
      </c>
      <c r="H23" s="45" t="n">
        <v>1.1331009887037</v>
      </c>
      <c r="I23" s="45" t="n">
        <v>1.19736431197392</v>
      </c>
      <c r="J23" s="45" t="n">
        <v>1.73589245028756</v>
      </c>
      <c r="K23" s="45" t="n">
        <v>2.36415788345678</v>
      </c>
      <c r="L23" s="45" t="n">
        <v>1.2465086768048</v>
      </c>
      <c r="M23" s="45" t="n">
        <v>1.06956562745402</v>
      </c>
      <c r="N23" s="45" t="n">
        <v>1.66859590131802</v>
      </c>
      <c r="O23" s="45" t="n">
        <v>1.5339924428285</v>
      </c>
    </row>
    <row r="24" ht="12.75" customHeight="1">
      <c r="A24" s="39" t="inlineStr">
        <is>
          <t>Activos inmovilizados</t>
        </is>
      </c>
      <c r="B24" s="45" t="n">
        <v>-0.09980607155508001</v>
      </c>
      <c r="C24" s="45" t="n">
        <v>-0.1004725008728</v>
      </c>
      <c r="D24" s="45" t="n">
        <v>-0.01920013180251</v>
      </c>
      <c r="E24" s="45" t="n">
        <v>-0.02737159762723</v>
      </c>
      <c r="F24" s="45" t="n">
        <v>0</v>
      </c>
      <c r="G24" s="45" t="n">
        <v>-0.00084412769145</v>
      </c>
      <c r="H24" s="45" t="n">
        <v>-0.01969911898844</v>
      </c>
      <c r="I24" s="45" t="n">
        <v>-0.01825205167428</v>
      </c>
      <c r="J24" s="45" t="n">
        <v>-0.09311809120777</v>
      </c>
      <c r="K24" s="45" t="n">
        <v>-0.01906130693121</v>
      </c>
      <c r="L24" s="45" t="n">
        <v>-0.03596762515717</v>
      </c>
      <c r="M24" s="45" t="n">
        <v>-0.00164935165697</v>
      </c>
      <c r="N24" s="45" t="n">
        <v>-0.00122761446655</v>
      </c>
      <c r="O24" s="45" t="n">
        <v>-0.05121295885922</v>
      </c>
    </row>
    <row r="25" ht="12.75" customHeight="1">
      <c r="A25" s="39" t="inlineStr">
        <is>
          <t>Colocación de recursos</t>
        </is>
      </c>
      <c r="B25" s="45" t="n">
        <v>0.9781767204491401</v>
      </c>
      <c r="C25" s="45" t="n">
        <v>0.96268847348972</v>
      </c>
      <c r="D25" s="45" t="n">
        <v>1.04005402716427</v>
      </c>
      <c r="E25" s="45" t="n">
        <v>0.55065021912513</v>
      </c>
      <c r="F25" s="45" t="n">
        <v>0.21752657218384</v>
      </c>
      <c r="G25" s="45" t="n">
        <v>0.898406914369</v>
      </c>
      <c r="H25" s="45" t="n">
        <v>1.12962370173632</v>
      </c>
      <c r="I25" s="45" t="n">
        <v>1.1683345036695</v>
      </c>
      <c r="J25" s="45" t="n">
        <v>0.8540207067676</v>
      </c>
      <c r="K25" s="45" t="n">
        <v>1.20825225494059</v>
      </c>
      <c r="L25" s="45" t="n">
        <v>0.97471829107734</v>
      </c>
      <c r="M25" s="45" t="n">
        <v>1.38602951602628</v>
      </c>
      <c r="N25" s="45" t="n">
        <v>1.02119853754711</v>
      </c>
      <c r="O25" s="45" t="n">
        <v>0.9772736748436699</v>
      </c>
    </row>
    <row r="26" ht="12.75" customHeight="1">
      <c r="A26" s="39" t="inlineStr">
        <is>
          <t>Variación de depósitos</t>
        </is>
      </c>
      <c r="B26" s="47" t="n">
        <v>0.1475814396734048</v>
      </c>
      <c r="C26" s="47" t="n">
        <v>0.1368333797392536</v>
      </c>
      <c r="D26" s="47" t="n">
        <v>0.09758991963546881</v>
      </c>
      <c r="E26" s="47" t="n">
        <v>0.1143791410660875</v>
      </c>
      <c r="F26" s="47" t="n">
        <v>-0.1298295195078379</v>
      </c>
      <c r="G26" s="47" t="n">
        <v>0.1226739378971911</v>
      </c>
      <c r="H26" s="47" t="n">
        <v>0.07492691770271565</v>
      </c>
      <c r="I26" s="47" t="n">
        <v>0.1413709445846765</v>
      </c>
      <c r="J26" s="47" t="n">
        <v>0.2715818088582473</v>
      </c>
      <c r="K26" s="47" t="n">
        <v>0.4007448326607446</v>
      </c>
      <c r="L26" s="47" t="n">
        <v>0.150431005476777</v>
      </c>
      <c r="M26" s="47" t="e">
        <v>#DIV/0!</v>
      </c>
      <c r="N26" s="47" t="n">
        <v>0.2197725760885301</v>
      </c>
      <c r="O26" s="47" t="n">
        <v>0.1477065246281546</v>
      </c>
    </row>
    <row r="27" ht="12.75" customHeight="1">
      <c r="A27" s="39" t="inlineStr">
        <is>
          <t>Variación en préstamos</t>
        </is>
      </c>
      <c r="B27" s="47" t="n">
        <v>0.04858452713399974</v>
      </c>
      <c r="C27" s="47" t="n">
        <v>0.0412759666784952</v>
      </c>
      <c r="D27" s="47" t="n">
        <v>0.02027789893740151</v>
      </c>
      <c r="E27" s="47" t="n">
        <v>-0.03080261789365657</v>
      </c>
      <c r="F27" s="47" t="n">
        <v>-0.2510820347947756</v>
      </c>
      <c r="G27" s="47" t="n">
        <v>0.07386721433736065</v>
      </c>
      <c r="H27" s="47" t="n">
        <v>0.0519666925104787</v>
      </c>
      <c r="I27" s="47" t="n">
        <v>0.1338715954629688</v>
      </c>
      <c r="J27" s="47" t="n">
        <v>-0.03309441432825599</v>
      </c>
      <c r="K27" s="47" t="n">
        <v>0.2584881374655983</v>
      </c>
      <c r="L27" s="47" t="n">
        <v>0.05546881922261471</v>
      </c>
      <c r="M27" s="47" t="e">
        <v>#DIV/0!</v>
      </c>
      <c r="N27" s="47" t="n">
        <v>0.1299766857377418</v>
      </c>
      <c r="O27" s="47" t="n">
        <v>0.07442907096410822</v>
      </c>
    </row>
    <row r="28" ht="12.75" customHeight="1">
      <c r="A28" s="40" t="inlineStr">
        <is>
          <t>Variación en cartera vencida</t>
        </is>
      </c>
      <c r="B28" s="48" t="n">
        <v>-0.1848546076650245</v>
      </c>
      <c r="C28" s="48" t="n">
        <v>-0.5136888916611309</v>
      </c>
      <c r="D28" s="48" t="n">
        <v>0.1066717351618169</v>
      </c>
      <c r="E28" s="48" t="n">
        <v>0.2586629856813429</v>
      </c>
      <c r="F28" s="48" t="e">
        <v>#DIV/0!</v>
      </c>
      <c r="G28" s="48" t="n">
        <v>0.01333099629745171</v>
      </c>
      <c r="H28" s="48" t="n">
        <v>-0.02706392413181635</v>
      </c>
      <c r="I28" s="48" t="n">
        <v>-0.02268348225177197</v>
      </c>
      <c r="J28" s="48" t="n">
        <v>-0.5078370194933417</v>
      </c>
      <c r="K28" s="48" t="n">
        <v>0.07373611951998726</v>
      </c>
      <c r="L28" s="48" t="n">
        <v>-0.1225065475486321</v>
      </c>
      <c r="M28" s="48" t="e">
        <v>#DIV/0!</v>
      </c>
      <c r="N28" s="48" t="n">
        <v>0.04381342694924584</v>
      </c>
      <c r="O28" s="48" t="n">
        <v>-0.1246639526612802</v>
      </c>
    </row>
    <row r="29" ht="12.75" customHeight="1">
      <c r="A29" s="9" t="inlineStr">
        <is>
          <t>1/ Considerar cambio en indicador mostrado en guia de indicadores</t>
        </is>
      </c>
    </row>
    <row r="30" ht="12.75" customHeight="1"/>
    <row r="31" ht="12.75" customHeight="1"/>
    <row r="32" ht="12.75" customHeight="1"/>
    <row r="33" ht="12.75" customHeight="1"/>
    <row r="34" ht="12.75" customHeight="1"/>
    <row r="35" ht="12.75" customFormat="1" customHeight="1" s="9"/>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28" workbookViewId="0">
      <selection activeCell="E34" sqref="E34"/>
    </sheetView>
  </sheetViews>
  <sheetFormatPr baseColWidth="10" defaultRowHeight="56.4" customHeight="1"/>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49" t="inlineStr">
        <is>
          <t>Indicador</t>
        </is>
      </c>
      <c r="C3" s="50" t="n"/>
      <c r="D3" s="4" t="inlineStr">
        <is>
          <t>Concepto</t>
        </is>
      </c>
      <c r="E3" s="4" t="inlineStr">
        <is>
          <t>Fórmula</t>
        </is>
      </c>
    </row>
    <row r="4" ht="14.4" customHeight="1">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1"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14.4"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2025-12-19T21:02:56Z</dcterms:modified>
  <cp:lastModifiedBy>Jefferson Mauricio Valencia Monterrosa</cp:lastModifiedBy>
</cp:coreProperties>
</file>
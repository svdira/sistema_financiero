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ia_b" sheetId="1" state="visible" r:id="rId1"/>
    <sheet name="Hoja1" sheetId="2" state="visible" r:id="rId2"/>
    <sheet name="Guía de Indicadores"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3">
    <numFmt numFmtId="164" formatCode="#,##0.0%"/>
    <numFmt numFmtId="165" formatCode="mmm\-yy"/>
    <numFmt numFmtId="166" formatCode="[$$-409]#,##0.00000"/>
  </numFmts>
  <fonts count="23">
    <font>
      <name val="Tahoma"/>
      <charset val="1"/>
      <family val="2"/>
      <color theme="1"/>
      <sz val="10"/>
    </font>
    <font>
      <name val="Arial"/>
      <family val="0"/>
      <sz val="10"/>
    </font>
    <font>
      <name val="Arial"/>
      <family val="0"/>
      <sz val="10"/>
    </font>
    <font>
      <name val="Arial"/>
      <family val="0"/>
      <sz val="10"/>
    </font>
    <font>
      <name val="Calibri"/>
      <charset val="1"/>
      <family val="2"/>
      <b val="1"/>
      <color theme="0"/>
      <sz val="11"/>
    </font>
    <font>
      <name val="Trebuchet MS"/>
      <charset val="1"/>
      <family val="2"/>
      <sz val="10"/>
    </font>
    <font>
      <name val="Arial"/>
      <charset val="1"/>
      <family val="2"/>
      <sz val="10"/>
    </font>
    <font>
      <name val="Calibri"/>
      <charset val="1"/>
      <family val="2"/>
      <color theme="1"/>
      <sz val="11"/>
    </font>
    <font>
      <name val="Museo Sans 300"/>
      <charset val="1"/>
      <family val="3"/>
      <b val="1"/>
      <color theme="0"/>
      <sz val="11"/>
    </font>
    <font>
      <name val="Museo Sans 300"/>
      <charset val="1"/>
      <family val="3"/>
      <b val="1"/>
      <color rgb="FFFFFFFF"/>
      <sz val="11"/>
    </font>
    <font>
      <name val="Museo Sans 300"/>
      <charset val="1"/>
      <family val="3"/>
      <b val="1"/>
      <color theme="1"/>
      <sz val="8"/>
    </font>
    <font>
      <name val="Museo Sans 300"/>
      <charset val="1"/>
      <family val="3"/>
      <color theme="1"/>
      <sz val="8"/>
    </font>
    <font>
      <name val="Museo Sans 300"/>
      <charset val="1"/>
      <family val="3"/>
      <color theme="1"/>
      <sz val="10"/>
    </font>
    <font>
      <name val="Museo Sans 300"/>
      <charset val="1"/>
      <family val="3"/>
      <sz val="10"/>
    </font>
    <font>
      <name val="Museo Sans 300"/>
      <charset val="1"/>
      <family val="3"/>
      <color theme="1"/>
      <sz val="11"/>
    </font>
    <font>
      <name val="Museo Sans 300"/>
      <charset val="1"/>
      <family val="3"/>
      <sz val="8"/>
    </font>
    <font>
      <name val="Museo Sans 300"/>
      <charset val="1"/>
      <family val="3"/>
      <b val="1"/>
      <color theme="1"/>
      <sz val="18"/>
    </font>
    <font>
      <name val="Museo Sans 300"/>
      <charset val="1"/>
      <family val="3"/>
      <b val="1"/>
      <sz val="10"/>
    </font>
    <font>
      <name val="Museo Sans 300"/>
      <charset val="1"/>
      <family val="3"/>
      <b val="1"/>
      <color theme="1"/>
      <sz val="14"/>
    </font>
    <font>
      <name val="Museo Sans 300"/>
      <charset val="1"/>
      <family val="3"/>
      <b val="1"/>
      <sz val="14"/>
    </font>
    <font>
      <name val="Museo Sans 300"/>
      <charset val="1"/>
      <family val="3"/>
      <sz val="11"/>
    </font>
    <font>
      <name val="Museo Sans 300"/>
      <charset val="1"/>
      <family val="3"/>
      <i val="1"/>
      <color theme="1"/>
      <sz val="11"/>
    </font>
    <font>
      <name val="Museo Sans 300"/>
      <charset val="1"/>
      <family val="3"/>
      <i val="1"/>
      <sz val="11"/>
    </font>
  </fonts>
  <fills count="5">
    <fill>
      <patternFill/>
    </fill>
    <fill>
      <patternFill patternType="gray125"/>
    </fill>
    <fill>
      <patternFill patternType="solid">
        <fgColor rgb="FF3E68AE"/>
        <bgColor rgb="FF446AAB"/>
      </patternFill>
    </fill>
    <fill>
      <patternFill patternType="solid">
        <fgColor rgb="FF446AAB"/>
        <bgColor rgb="FF3E68AE"/>
      </patternFill>
    </fill>
    <fill>
      <patternFill patternType="solid">
        <fgColor theme="0"/>
        <bgColor rgb="FFFFFFCC"/>
      </patternFill>
    </fill>
  </fills>
  <borders count="15">
    <border>
      <left/>
      <right/>
      <top/>
      <bottom/>
      <diagonal/>
    </border>
    <border>
      <left style="thin">
        <color theme="3" tint="-0.5"/>
      </left>
      <right style="thin">
        <color theme="3" tint="-0.5"/>
      </right>
      <top style="thin">
        <color theme="3" tint="-0.5"/>
      </top>
      <bottom style="thin">
        <color theme="3" tint="-0.5"/>
      </bottom>
      <diagonal/>
    </border>
    <border>
      <left/>
      <right/>
      <top/>
      <bottom style="thin"/>
      <diagonal/>
    </border>
    <border>
      <left/>
      <right/>
      <top style="thin"/>
      <bottom style="thin"/>
      <diagonal/>
    </border>
    <border>
      <left style="thin">
        <color theme="0"/>
      </left>
      <right style="thin">
        <color theme="0"/>
      </right>
      <top style="thin">
        <color theme="0"/>
      </top>
      <bottom style="thin"/>
      <diagonal/>
    </border>
    <border>
      <left/>
      <right style="thin"/>
      <top style="thin"/>
      <bottom style="thin"/>
      <diagonal/>
    </border>
    <border>
      <left/>
      <right style="thin"/>
      <top style="thin"/>
      <bottom/>
      <diagonal/>
    </border>
    <border>
      <left style="thin"/>
      <right style="thin"/>
      <top style="thin"/>
      <bottom/>
      <diagonal/>
    </border>
    <border>
      <left/>
      <right style="thin"/>
      <top/>
      <bottom/>
      <diagonal/>
    </border>
    <border>
      <left style="thin"/>
      <right style="thin"/>
      <top/>
      <bottom/>
      <diagonal/>
    </border>
    <border>
      <left/>
      <right style="thin"/>
      <top/>
      <bottom style="thin"/>
      <diagonal/>
    </border>
    <border>
      <left style="thin"/>
      <right style="thin"/>
      <top/>
      <bottom style="thin"/>
      <diagonal/>
    </border>
    <border>
      <left style="thin"/>
      <right style="thin"/>
      <top style="thin"/>
      <bottom style="thin"/>
      <diagonal/>
    </border>
    <border>
      <left/>
      <right/>
      <top style="thin"/>
      <bottom/>
      <diagonal/>
    </border>
    <border>
      <left style="thin"/>
      <right/>
      <top/>
      <bottom/>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2" borderId="1" applyAlignment="1">
      <alignment horizontal="center" vertical="top" wrapText="1"/>
    </xf>
    <xf numFmtId="0" fontId="5" fillId="0" borderId="0" applyAlignment="1">
      <alignment horizontal="general" vertical="bottom"/>
    </xf>
    <xf numFmtId="166" fontId="6" fillId="0" borderId="0" applyAlignment="1">
      <alignment horizontal="general" vertical="bottom"/>
    </xf>
    <xf numFmtId="0" fontId="7" fillId="0" borderId="0" applyAlignment="1">
      <alignment horizontal="general" vertical="bottom"/>
    </xf>
  </cellStyleXfs>
  <cellXfs count="73">
    <xf numFmtId="0" fontId="0" fillId="0" borderId="0" applyAlignment="1" pivotButton="0" quotePrefix="0" xfId="0">
      <alignment horizontal="general" vertical="bottom"/>
    </xf>
    <xf numFmtId="0" fontId="8" fillId="2" borderId="2" applyAlignment="1" pivotButton="0" quotePrefix="0" xfId="20">
      <alignment horizontal="center" vertical="center" wrapText="1"/>
    </xf>
    <xf numFmtId="0" fontId="8" fillId="2" borderId="3" applyAlignment="1" pivotButton="0" quotePrefix="0" xfId="20">
      <alignment horizontal="center" vertical="center" wrapText="1"/>
    </xf>
    <xf numFmtId="0" fontId="9" fillId="3" borderId="4" applyAlignment="1" pivotButton="0" quotePrefix="0" xfId="0">
      <alignment horizontal="center" vertical="center" wrapText="1"/>
    </xf>
    <xf numFmtId="0" fontId="8" fillId="2" borderId="5" applyAlignment="1" pivotButton="0" quotePrefix="0" xfId="20">
      <alignment horizontal="center" vertical="center" wrapText="1"/>
    </xf>
    <xf numFmtId="0" fontId="10" fillId="4" borderId="6" applyAlignment="1" pivotButton="0" quotePrefix="0" xfId="0">
      <alignment horizontal="center" vertical="center" wrapText="1"/>
    </xf>
    <xf numFmtId="0" fontId="11" fillId="4" borderId="7" applyAlignment="1" pivotButton="0" quotePrefix="0" xfId="0">
      <alignment horizontal="center" vertical="center" wrapText="1"/>
    </xf>
    <xf numFmtId="0" fontId="11" fillId="4" borderId="6" applyAlignment="1" pivotButton="0" quotePrefix="0" xfId="0">
      <alignment horizontal="center" vertical="center" wrapText="1"/>
    </xf>
    <xf numFmtId="0" fontId="11" fillId="4" borderId="8" applyAlignment="1" pivotButton="0" quotePrefix="0" xfId="0">
      <alignment horizontal="center" vertical="center" wrapText="1"/>
    </xf>
    <xf numFmtId="0" fontId="12" fillId="4" borderId="8" applyAlignment="1" pivotButton="0" quotePrefix="0" xfId="0">
      <alignment horizontal="general" vertical="top"/>
    </xf>
    <xf numFmtId="164" fontId="12" fillId="4" borderId="9" applyAlignment="1" pivotButton="0" quotePrefix="0" xfId="0">
      <alignment horizontal="right" vertical="top"/>
    </xf>
    <xf numFmtId="164" fontId="12" fillId="4" borderId="8" applyAlignment="1" pivotButton="0" quotePrefix="0" xfId="0">
      <alignment horizontal="right" vertical="top"/>
    </xf>
    <xf numFmtId="164" fontId="13" fillId="4" borderId="9" applyAlignment="1" pivotButton="0" quotePrefix="0" xfId="0">
      <alignment horizontal="right" vertical="top"/>
    </xf>
    <xf numFmtId="0" fontId="12" fillId="4" borderId="10" applyAlignment="1" pivotButton="0" quotePrefix="0" xfId="0">
      <alignment horizontal="general" vertical="top"/>
    </xf>
    <xf numFmtId="164" fontId="13" fillId="4" borderId="11" applyAlignment="1" pivotButton="0" quotePrefix="0" xfId="0">
      <alignment horizontal="right" vertical="top"/>
    </xf>
    <xf numFmtId="0" fontId="14" fillId="4" borderId="0" applyAlignment="1" pivotButton="0" quotePrefix="0" xfId="0">
      <alignment horizontal="general" vertical="top"/>
    </xf>
    <xf numFmtId="10" fontId="15" fillId="4" borderId="0" applyAlignment="1" pivotButton="0" quotePrefix="0" xfId="0">
      <alignment horizontal="right" vertical="top"/>
    </xf>
    <xf numFmtId="0" fontId="12" fillId="0" borderId="0" applyAlignment="1" pivotButton="0" quotePrefix="0" xfId="0">
      <alignment horizontal="general" vertical="bottom"/>
    </xf>
    <xf numFmtId="0" fontId="7" fillId="0" borderId="0" applyAlignment="1" pivotButton="0" quotePrefix="0" xfId="0">
      <alignment horizontal="general" vertical="bottom"/>
    </xf>
    <xf numFmtId="165" fontId="0" fillId="0" borderId="0" applyAlignment="1" pivotButton="0" quotePrefix="0" xfId="0">
      <alignment horizontal="general" vertical="bottom"/>
    </xf>
    <xf numFmtId="0" fontId="14" fillId="4" borderId="0" applyAlignment="1" pivotButton="0" quotePrefix="0" xfId="23">
      <alignment horizontal="left" vertical="bottom"/>
    </xf>
    <xf numFmtId="0" fontId="7" fillId="4" borderId="0" applyAlignment="1" pivotButton="0" quotePrefix="0" xfId="23">
      <alignment horizontal="left" vertical="bottom"/>
    </xf>
    <xf numFmtId="0" fontId="12" fillId="4" borderId="0" applyAlignment="1" pivotButton="0" quotePrefix="0" xfId="22">
      <alignment horizontal="general" vertical="bottom"/>
    </xf>
    <xf numFmtId="0" fontId="16" fillId="4" borderId="0" applyAlignment="1" pivotButton="0" quotePrefix="0" xfId="23">
      <alignment horizontal="left" vertical="bottom"/>
    </xf>
    <xf numFmtId="0" fontId="17" fillId="4" borderId="0" applyAlignment="1" pivotButton="0" quotePrefix="0" xfId="23">
      <alignment horizontal="left" vertical="bottom"/>
    </xf>
    <xf numFmtId="0" fontId="17" fillId="4" borderId="0" applyAlignment="1" pivotButton="0" quotePrefix="0" xfId="21">
      <alignment horizontal="left" vertical="center" wrapText="1"/>
    </xf>
    <xf numFmtId="0" fontId="17" fillId="4" borderId="0" applyAlignment="1" pivotButton="0" quotePrefix="0" xfId="21">
      <alignment horizontal="left" vertical="bottom"/>
    </xf>
    <xf numFmtId="0" fontId="18" fillId="4" borderId="0" applyAlignment="1" pivotButton="0" quotePrefix="0" xfId="23">
      <alignment horizontal="left" vertical="bottom"/>
    </xf>
    <xf numFmtId="0" fontId="19" fillId="4" borderId="0" applyAlignment="1" pivotButton="0" quotePrefix="0" xfId="23">
      <alignment horizontal="left" vertical="bottom"/>
    </xf>
    <xf numFmtId="0" fontId="8" fillId="2" borderId="7" applyAlignment="1" pivotButton="0" quotePrefix="0" xfId="20">
      <alignment horizontal="center" vertical="center"/>
    </xf>
    <xf numFmtId="0" fontId="14" fillId="4" borderId="12" applyAlignment="1" pivotButton="0" quotePrefix="0" xfId="23">
      <alignment horizontal="center" vertical="center"/>
    </xf>
    <xf numFmtId="0" fontId="20" fillId="4" borderId="12" applyAlignment="1" pivotButton="0" quotePrefix="0" xfId="20">
      <alignment horizontal="left" vertical="center" wrapText="1"/>
    </xf>
    <xf numFmtId="0" fontId="14" fillId="4" borderId="12" applyAlignment="1" pivotButton="0" quotePrefix="0" xfId="23">
      <alignment horizontal="justify" vertical="center" wrapText="1"/>
    </xf>
    <xf numFmtId="0" fontId="0" fillId="0" borderId="12" applyAlignment="1" pivotButton="0" quotePrefix="0" xfId="22">
      <alignment horizontal="general" vertical="bottom"/>
    </xf>
    <xf numFmtId="0" fontId="12" fillId="4" borderId="0" applyAlignment="1" pivotButton="0" quotePrefix="0" xfId="0">
      <alignment horizontal="general" vertical="bottom"/>
    </xf>
    <xf numFmtId="0" fontId="7" fillId="0" borderId="12" applyAlignment="1" pivotButton="0" quotePrefix="0" xfId="23">
      <alignment horizontal="general" vertical="bottom"/>
    </xf>
    <xf numFmtId="0" fontId="0" fillId="0" borderId="12" applyAlignment="1" pivotButton="0" quotePrefix="0" xfId="0">
      <alignment horizontal="general" vertical="bottom"/>
    </xf>
    <xf numFmtId="0" fontId="21" fillId="4" borderId="0" applyAlignment="1" pivotButton="0" quotePrefix="0" xfId="23">
      <alignment horizontal="center" vertical="center"/>
    </xf>
    <xf numFmtId="0" fontId="22" fillId="4" borderId="0" applyAlignment="1" pivotButton="0" quotePrefix="0" xfId="20">
      <alignment horizontal="left" vertical="center" wrapText="1"/>
    </xf>
    <xf numFmtId="0" fontId="21" fillId="4" borderId="0" applyAlignment="1" pivotButton="0" quotePrefix="0" xfId="23">
      <alignment horizontal="justify" vertical="center" wrapText="1"/>
    </xf>
    <xf numFmtId="0" fontId="0" fillId="0" borderId="0" applyAlignment="1" pivotButton="0" quotePrefix="0" xfId="0">
      <alignment horizontal="general" vertical="bottom"/>
    </xf>
    <xf numFmtId="0" fontId="0" fillId="0" borderId="0" pivotButton="0" quotePrefix="0" xfId="0"/>
    <xf numFmtId="0" fontId="8" fillId="2" borderId="2" applyAlignment="1" pivotButton="0" quotePrefix="0" xfId="20">
      <alignment horizontal="center" vertical="center" wrapText="1"/>
    </xf>
    <xf numFmtId="0" fontId="8" fillId="2" borderId="3" applyAlignment="1" pivotButton="0" quotePrefix="0" xfId="20">
      <alignment horizontal="center" vertical="center" wrapText="1"/>
    </xf>
    <xf numFmtId="0" fontId="9" fillId="3" borderId="4" applyAlignment="1" pivotButton="0" quotePrefix="0" xfId="0">
      <alignment horizontal="center" vertical="center" wrapText="1"/>
    </xf>
    <xf numFmtId="0" fontId="8" fillId="2" borderId="5" applyAlignment="1" pivotButton="0" quotePrefix="0" xfId="20">
      <alignment horizontal="center" vertical="center" wrapText="1"/>
    </xf>
    <xf numFmtId="0" fontId="12" fillId="4" borderId="8" applyAlignment="1" pivotButton="0" quotePrefix="0" xfId="0">
      <alignment horizontal="general" vertical="top"/>
    </xf>
    <xf numFmtId="164" fontId="12" fillId="4" borderId="9" applyAlignment="1" pivotButton="0" quotePrefix="0" xfId="0">
      <alignment horizontal="right" vertical="top"/>
    </xf>
    <xf numFmtId="164" fontId="12" fillId="4" borderId="8" applyAlignment="1" pivotButton="0" quotePrefix="0" xfId="0">
      <alignment horizontal="right" vertical="top"/>
    </xf>
    <xf numFmtId="164" fontId="13" fillId="4" borderId="9" applyAlignment="1" pivotButton="0" quotePrefix="0" xfId="0">
      <alignment horizontal="right" vertical="top"/>
    </xf>
    <xf numFmtId="0" fontId="12" fillId="4" borderId="10" applyAlignment="1" pivotButton="0" quotePrefix="0" xfId="0">
      <alignment horizontal="general" vertical="top"/>
    </xf>
    <xf numFmtId="164" fontId="13" fillId="4" borderId="11" applyAlignment="1" pivotButton="0" quotePrefix="0" xfId="0">
      <alignment horizontal="right" vertical="top"/>
    </xf>
    <xf numFmtId="0" fontId="12" fillId="0" borderId="0" applyAlignment="1" pivotButton="0" quotePrefix="0" xfId="0">
      <alignment horizontal="general" vertical="bottom"/>
    </xf>
    <xf numFmtId="165" fontId="0" fillId="0" borderId="0" applyAlignment="1" pivotButton="0" quotePrefix="0" xfId="0">
      <alignment horizontal="general" vertical="bottom"/>
    </xf>
    <xf numFmtId="0" fontId="14" fillId="4" borderId="0" applyAlignment="1" pivotButton="0" quotePrefix="0" xfId="23">
      <alignment horizontal="left" vertical="bottom"/>
    </xf>
    <xf numFmtId="0" fontId="7" fillId="4" borderId="0" applyAlignment="1" pivotButton="0" quotePrefix="0" xfId="23">
      <alignment horizontal="left" vertical="bottom"/>
    </xf>
    <xf numFmtId="0" fontId="12" fillId="4" borderId="0" applyAlignment="1" pivotButton="0" quotePrefix="0" xfId="22">
      <alignment horizontal="general" vertical="bottom"/>
    </xf>
    <xf numFmtId="0" fontId="16" fillId="4" borderId="0" applyAlignment="1" pivotButton="0" quotePrefix="0" xfId="23">
      <alignment horizontal="left" vertical="bottom"/>
    </xf>
    <xf numFmtId="0" fontId="17" fillId="4" borderId="0" applyAlignment="1" pivotButton="0" quotePrefix="0" xfId="23">
      <alignment horizontal="left" vertical="bottom"/>
    </xf>
    <xf numFmtId="0" fontId="17" fillId="4" borderId="0" applyAlignment="1" pivotButton="0" quotePrefix="0" xfId="21">
      <alignment horizontal="left" vertical="center" wrapText="1"/>
    </xf>
    <xf numFmtId="0" fontId="17" fillId="4" borderId="0" applyAlignment="1" pivotButton="0" quotePrefix="0" xfId="21">
      <alignment horizontal="left" vertical="bottom"/>
    </xf>
    <xf numFmtId="0" fontId="18" fillId="4" borderId="0" applyAlignment="1" pivotButton="0" quotePrefix="0" xfId="23">
      <alignment horizontal="left" vertical="bottom"/>
    </xf>
    <xf numFmtId="0" fontId="19" fillId="4" borderId="0" applyAlignment="1" pivotButton="0" quotePrefix="0" xfId="23">
      <alignment horizontal="left" vertical="bottom"/>
    </xf>
    <xf numFmtId="0" fontId="8" fillId="2" borderId="7" applyAlignment="1" pivotButton="0" quotePrefix="0" xfId="20">
      <alignment horizontal="center" vertical="center"/>
    </xf>
    <xf numFmtId="0" fontId="0" fillId="0" borderId="6" pivotButton="0" quotePrefix="0" xfId="0"/>
    <xf numFmtId="0" fontId="14" fillId="4" borderId="12" applyAlignment="1" pivotButton="0" quotePrefix="0" xfId="23">
      <alignment horizontal="center" vertical="center"/>
    </xf>
    <xf numFmtId="0" fontId="20" fillId="4" borderId="12" applyAlignment="1" pivotButton="0" quotePrefix="0" xfId="20">
      <alignment horizontal="left" vertical="center" wrapText="1"/>
    </xf>
    <xf numFmtId="0" fontId="14" fillId="4" borderId="12" applyAlignment="1" pivotButton="0" quotePrefix="0" xfId="23">
      <alignment horizontal="justify" vertical="center" wrapText="1"/>
    </xf>
    <xf numFmtId="0" fontId="0" fillId="0" borderId="12" applyAlignment="1" pivotButton="0" quotePrefix="0" xfId="22">
      <alignment horizontal="general" vertical="bottom"/>
    </xf>
    <xf numFmtId="0" fontId="0" fillId="0" borderId="11" pivotButton="0" quotePrefix="0" xfId="0"/>
    <xf numFmtId="0" fontId="12" fillId="4" borderId="0" applyAlignment="1" pivotButton="0" quotePrefix="0" xfId="0">
      <alignment horizontal="general" vertical="bottom"/>
    </xf>
    <xf numFmtId="0" fontId="7" fillId="0" borderId="12" applyAlignment="1" pivotButton="0" quotePrefix="0" xfId="23">
      <alignment horizontal="general" vertical="bottom"/>
    </xf>
    <xf numFmtId="0" fontId="0" fillId="0" borderId="12" applyAlignment="1" pivotButton="0" quotePrefix="0" xfId="0">
      <alignment horizontal="general" vertical="bottom"/>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Cuadros SSF" xfId="6"/>
    <cellStyle name="Normal 2 2 22" xfId="7"/>
    <cellStyle name="Normal 6" xfId="8"/>
    <cellStyle name="Normal 81" xfId="9"/>
  </cellStyles>
  <dxfs count="2">
    <dxf>
      <font>
        <color rgb="FF9C0006"/>
      </font>
      <fill>
        <patternFill>
          <bgColor rgb="FFFFC7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E68AE"/>
      <rgbColor rgb="FF33CCCC"/>
      <rgbColor rgb="FF99CC00"/>
      <rgbColor rgb="FFFFCC00"/>
      <rgbColor rgb="FFFF9900"/>
      <rgbColor rgb="FFFF6600"/>
      <rgbColor rgb="FF446AAB"/>
      <rgbColor rgb="FF969696"/>
      <rgbColor rgb="FF003366"/>
      <rgbColor rgb="FF339966"/>
      <rgbColor rgb="FF003300"/>
      <rgbColor rgb="FF333300"/>
      <rgbColor rgb="FF993300"/>
      <rgbColor rgb="FF993366"/>
      <rgbColor rgb="FF333399"/>
      <rgbColor rgb="FF222A35"/>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twoCell">
    <from>
      <col>4</col>
      <colOff>1028880</colOff>
      <row>21</row>
      <rowOff>304920</rowOff>
    </from>
    <to>
      <col>4</col>
      <colOff>3476520</colOff>
      <row>22</row>
      <rowOff>75960</rowOff>
    </to>
    <pic>
      <nvPicPr>
        <cNvPr id="2" name="Picture 4" descr=""/>
        <cNvPicPr/>
      </nvPicPr>
      <blipFill>
        <a:blip r:embed="rId1">
          <lum bright="-10000" contrast="0"/>
        </a:blip>
        <a:stretch>
          <a:fillRect/>
        </a:stretch>
      </blipFill>
      <spPr>
        <a:xfrm>
          <a:off x="9833760" y="15306840"/>
          <a:ext cx="2447640" cy="485280"/>
        </a:xfrm>
        <a:prstGeom prst="rect">
          <avLst/>
        </a:prstGeom>
        <a:noFill/>
        <a:ln w="0">
          <a:noFill/>
          <a:prstDash val="solid"/>
        </a:ln>
      </spPr>
    </pic>
    <clientData/>
  </twoCellAnchor>
  <twoCellAnchor editAs="twoCell">
    <from>
      <col>4</col>
      <colOff>1114560</colOff>
      <row>20</row>
      <rowOff>580680</rowOff>
    </from>
    <to>
      <col>4</col>
      <colOff>3409560</colOff>
      <row>21</row>
      <rowOff>275760</rowOff>
    </to>
    <pic>
      <nvPicPr>
        <cNvPr id="3" name="Picture 7" descr=""/>
        <cNvPicPr/>
      </nvPicPr>
      <blipFill>
        <a:blip r:embed="rId2">
          <lum bright="-10000" contrast="0"/>
        </a:blip>
        <a:stretch>
          <a:fillRect/>
        </a:stretch>
      </blipFill>
      <spPr>
        <a:xfrm>
          <a:off x="9919440" y="14868360"/>
          <a:ext cx="2295000" cy="409320"/>
        </a:xfrm>
        <a:prstGeom prst="rect">
          <avLst/>
        </a:prstGeom>
        <a:noFill/>
        <a:ln w="0">
          <a:noFill/>
          <a:prstDash val="solid"/>
        </a:ln>
      </spPr>
    </pic>
    <clientData/>
  </twoCellAnchor>
  <twoCellAnchor editAs="twoCell">
    <from>
      <col>4</col>
      <colOff>1057320</colOff>
      <row>20</row>
      <rowOff>162000</rowOff>
    </from>
    <to>
      <col>4</col>
      <colOff>3247560</colOff>
      <row>20</row>
      <rowOff>428040</rowOff>
    </to>
    <pic>
      <nvPicPr>
        <cNvPr id="4" name="Picture 9" descr=""/>
        <cNvPicPr/>
      </nvPicPr>
      <blipFill>
        <a:blip r:embed="rId3">
          <lum bright="-10000" contrast="0"/>
        </a:blip>
        <a:stretch>
          <a:fillRect/>
        </a:stretch>
      </blipFill>
      <spPr>
        <a:xfrm>
          <a:off x="9862200" y="14449680"/>
          <a:ext cx="2190240" cy="266040"/>
        </a:xfrm>
        <a:prstGeom prst="rect">
          <avLst/>
        </a:prstGeom>
        <a:noFill/>
        <a:ln w="0">
          <a:noFill/>
          <a:prstDash val="solid"/>
        </a:ln>
      </spPr>
    </pic>
    <clientData/>
  </twoCellAnchor>
  <twoCellAnchor editAs="twoCell">
    <from>
      <col>4</col>
      <colOff>1123920</colOff>
      <row>1</row>
      <rowOff>466920</rowOff>
    </from>
    <to>
      <col>4</col>
      <colOff>2923920</colOff>
      <row>2</row>
      <rowOff>304560</rowOff>
    </to>
    <pic>
      <nvPicPr>
        <cNvPr id="5" name="Picture 2" descr=""/>
        <cNvPicPr/>
      </nvPicPr>
      <blipFill>
        <a:blip r:embed="rId4"/>
        <a:stretch>
          <a:fillRect/>
        </a:stretch>
      </blipFill>
      <spPr>
        <a:xfrm>
          <a:off x="9928800" y="1181160"/>
          <a:ext cx="1800000" cy="552240"/>
        </a:xfrm>
        <a:prstGeom prst="rect">
          <avLst/>
        </a:prstGeom>
        <a:noFill/>
        <a:ln w="0">
          <a:noFill/>
          <a:prstDash val="solid"/>
        </a:ln>
      </spPr>
    </pic>
    <clientData/>
  </twoCellAnchor>
  <twoCellAnchor editAs="twoCell">
    <from>
      <col>4</col>
      <colOff>228600</colOff>
      <row>2</row>
      <rowOff>619200</rowOff>
    </from>
    <to>
      <col>4</col>
      <colOff>3619080</colOff>
      <row>3</row>
      <rowOff>409320</rowOff>
    </to>
    <pic>
      <nvPicPr>
        <cNvPr id="6" name="Picture 3" descr=""/>
        <cNvPicPr/>
      </nvPicPr>
      <blipFill>
        <a:blip r:embed="rId5"/>
        <a:stretch>
          <a:fillRect/>
        </a:stretch>
      </blipFill>
      <spPr>
        <a:xfrm>
          <a:off x="9033480" y="2048040"/>
          <a:ext cx="3390480" cy="504360"/>
        </a:xfrm>
        <a:prstGeom prst="rect">
          <avLst/>
        </a:prstGeom>
        <a:noFill/>
        <a:ln w="0">
          <a:noFill/>
          <a:prstDash val="solid"/>
        </a:ln>
      </spPr>
    </pic>
    <clientData/>
  </twoCellAnchor>
  <twoCellAnchor editAs="twoCell">
    <from>
      <col>4</col>
      <colOff>733320</colOff>
      <row>4</row>
      <rowOff>9360</rowOff>
    </from>
    <to>
      <col>4</col>
      <colOff>3619080</colOff>
      <row>4</row>
      <rowOff>504360</rowOff>
    </to>
    <pic>
      <nvPicPr>
        <cNvPr id="7" name="Picture 4" descr=""/>
        <cNvPicPr/>
      </nvPicPr>
      <blipFill>
        <a:blip r:embed="rId6"/>
        <a:stretch>
          <a:fillRect/>
        </a:stretch>
      </blipFill>
      <spPr>
        <a:xfrm>
          <a:off x="9538200" y="2867040"/>
          <a:ext cx="2885760" cy="495000"/>
        </a:xfrm>
        <a:prstGeom prst="rect">
          <avLst/>
        </a:prstGeom>
        <a:noFill/>
        <a:ln w="0">
          <a:noFill/>
          <a:prstDash val="solid"/>
        </a:ln>
      </spPr>
    </pic>
    <clientData/>
  </twoCellAnchor>
  <twoCellAnchor editAs="twoCell">
    <from>
      <col>4</col>
      <colOff>476280</colOff>
      <row>5</row>
      <rowOff>485640</rowOff>
    </from>
    <to>
      <col>4</col>
      <colOff>3638160</colOff>
      <row>6</row>
      <rowOff>228240</rowOff>
    </to>
    <pic>
      <nvPicPr>
        <cNvPr id="8" name="Picture 8" descr=""/>
        <cNvPicPr/>
      </nvPicPr>
      <blipFill>
        <a:blip r:embed="rId7"/>
        <a:stretch>
          <a:fillRect/>
        </a:stretch>
      </blipFill>
      <spPr>
        <a:xfrm>
          <a:off x="9281160" y="4057560"/>
          <a:ext cx="3161880" cy="456840"/>
        </a:xfrm>
        <a:prstGeom prst="rect">
          <avLst/>
        </a:prstGeom>
        <a:noFill/>
        <a:ln w="0">
          <a:noFill/>
          <a:prstDash val="solid"/>
        </a:ln>
      </spPr>
    </pic>
    <clientData/>
  </twoCellAnchor>
  <twoCellAnchor editAs="twoCell">
    <from>
      <col>4</col>
      <colOff>114480</colOff>
      <row>6</row>
      <rowOff>400320</rowOff>
    </from>
    <to>
      <col>4</col>
      <colOff>3609720</colOff>
      <row>7</row>
      <rowOff>114120</rowOff>
    </to>
    <pic>
      <nvPicPr>
        <cNvPr id="9" name="Picture 9" descr=""/>
        <cNvPicPr/>
      </nvPicPr>
      <blipFill>
        <a:blip r:embed="rId8"/>
        <a:stretch>
          <a:fillRect/>
        </a:stretch>
      </blipFill>
      <spPr>
        <a:xfrm>
          <a:off x="8919360" y="4686480"/>
          <a:ext cx="3495240" cy="428400"/>
        </a:xfrm>
        <a:prstGeom prst="rect">
          <avLst/>
        </a:prstGeom>
        <a:noFill/>
        <a:ln w="0">
          <a:noFill/>
          <a:prstDash val="solid"/>
        </a:ln>
      </spPr>
    </pic>
    <clientData/>
  </twoCellAnchor>
  <twoCellAnchor editAs="twoCell">
    <from>
      <col>4</col>
      <colOff>571680</colOff>
      <row>7</row>
      <rowOff>171360</rowOff>
    </from>
    <to>
      <col>4</col>
      <colOff>3619440</colOff>
      <row>7</row>
      <rowOff>580680</rowOff>
    </to>
    <pic>
      <nvPicPr>
        <cNvPr id="10" name="Picture 10" descr=""/>
        <cNvPicPr/>
      </nvPicPr>
      <blipFill>
        <a:blip r:embed="rId9"/>
        <a:stretch>
          <a:fillRect/>
        </a:stretch>
      </blipFill>
      <spPr>
        <a:xfrm>
          <a:off x="9376560" y="5172120"/>
          <a:ext cx="3047760" cy="409320"/>
        </a:xfrm>
        <a:prstGeom prst="rect">
          <avLst/>
        </a:prstGeom>
        <a:noFill/>
        <a:ln w="0">
          <a:noFill/>
          <a:prstDash val="solid"/>
        </a:ln>
      </spPr>
    </pic>
    <clientData/>
  </twoCellAnchor>
  <twoCellAnchor editAs="twoCell">
    <from>
      <col>4</col>
      <colOff>304920</colOff>
      <row>8</row>
      <rowOff>0</rowOff>
    </from>
    <to>
      <col>4</col>
      <colOff>3628800</colOff>
      <row>8</row>
      <rowOff>447480</rowOff>
    </to>
    <pic>
      <nvPicPr>
        <cNvPr id="11" name="Picture 11" descr=""/>
        <cNvPicPr/>
      </nvPicPr>
      <blipFill>
        <a:blip r:embed="rId10"/>
        <a:stretch>
          <a:fillRect/>
        </a:stretch>
      </blipFill>
      <spPr>
        <a:xfrm>
          <a:off x="9109800" y="5715000"/>
          <a:ext cx="3323880" cy="447480"/>
        </a:xfrm>
        <a:prstGeom prst="rect">
          <avLst/>
        </a:prstGeom>
        <a:noFill/>
        <a:ln w="0">
          <a:noFill/>
          <a:prstDash val="solid"/>
        </a:ln>
      </spPr>
    </pic>
    <clientData/>
  </twoCellAnchor>
  <twoCellAnchor editAs="twoCell">
    <from>
      <col>4</col>
      <colOff>885960</colOff>
      <row>8</row>
      <rowOff>600120</rowOff>
    </from>
    <to>
      <col>4</col>
      <colOff>2990520</colOff>
      <row>9</row>
      <rowOff>295200</rowOff>
    </to>
    <pic>
      <nvPicPr>
        <cNvPr id="12" name="Picture 12" descr=""/>
        <cNvPicPr/>
      </nvPicPr>
      <blipFill>
        <a:blip r:embed="rId11"/>
        <a:stretch>
          <a:fillRect/>
        </a:stretch>
      </blipFill>
      <spPr>
        <a:xfrm>
          <a:off x="9690840" y="6315120"/>
          <a:ext cx="2104560" cy="409320"/>
        </a:xfrm>
        <a:prstGeom prst="rect">
          <avLst/>
        </a:prstGeom>
        <a:noFill/>
        <a:ln w="0">
          <a:noFill/>
          <a:prstDash val="solid"/>
        </a:ln>
      </spPr>
    </pic>
    <clientData/>
  </twoCellAnchor>
  <twoCellAnchor editAs="twoCell">
    <from>
      <col>4</col>
      <colOff>781200</colOff>
      <row>9</row>
      <rowOff>190800</rowOff>
    </from>
    <to>
      <col>4</col>
      <colOff>2981160</colOff>
      <row>9</row>
      <rowOff>609480</rowOff>
    </to>
    <pic>
      <nvPicPr>
        <cNvPr id="13" name="Picture 14" descr=""/>
        <cNvPicPr/>
      </nvPicPr>
      <blipFill>
        <a:blip r:embed="rId12"/>
        <a:stretch>
          <a:fillRect/>
        </a:stretch>
      </blipFill>
      <spPr>
        <a:xfrm>
          <a:off x="9586080" y="6620040"/>
          <a:ext cx="2199960" cy="418680"/>
        </a:xfrm>
        <a:prstGeom prst="rect">
          <avLst/>
        </a:prstGeom>
        <a:noFill/>
        <a:ln w="0">
          <a:noFill/>
          <a:prstDash val="solid"/>
        </a:ln>
      </spPr>
    </pic>
    <clientData/>
  </twoCellAnchor>
  <twoCellAnchor editAs="twoCell">
    <from>
      <col>4</col>
      <colOff>828720</colOff>
      <row>12</row>
      <rowOff>313920</rowOff>
    </from>
    <to>
      <col>4</col>
      <colOff>2904840</colOff>
      <row>13</row>
      <rowOff>104040</rowOff>
    </to>
    <pic>
      <nvPicPr>
        <cNvPr id="14" name="Picture 1" descr=""/>
        <cNvPicPr/>
      </nvPicPr>
      <blipFill>
        <a:blip r:embed="rId13"/>
        <a:stretch>
          <a:fillRect/>
        </a:stretch>
      </blipFill>
      <spPr>
        <a:xfrm>
          <a:off x="9633600" y="8886600"/>
          <a:ext cx="2076120" cy="504360"/>
        </a:xfrm>
        <a:prstGeom prst="rect">
          <avLst/>
        </a:prstGeom>
        <a:noFill/>
        <a:ln w="0">
          <a:noFill/>
          <a:prstDash val="solid"/>
        </a:ln>
      </spPr>
    </pic>
    <clientData/>
  </twoCellAnchor>
  <twoCellAnchor editAs="twoCell">
    <from>
      <col>4</col>
      <colOff>1047600</colOff>
      <row>13</row>
      <rowOff>276120</rowOff>
    </from>
    <to>
      <col>4</col>
      <colOff>2580840</colOff>
      <row>13</row>
      <rowOff>690840</rowOff>
    </to>
    <pic>
      <nvPicPr>
        <cNvPr id="15" name="Picture 2" descr=""/>
        <cNvPicPr/>
      </nvPicPr>
      <blipFill>
        <a:blip r:embed="rId14"/>
        <a:stretch>
          <a:fillRect/>
        </a:stretch>
      </blipFill>
      <spPr>
        <a:xfrm>
          <a:off x="9852480" y="9563040"/>
          <a:ext cx="1533240" cy="414720"/>
        </a:xfrm>
        <a:prstGeom prst="rect">
          <avLst/>
        </a:prstGeom>
        <a:noFill/>
        <a:ln w="0">
          <a:noFill/>
          <a:prstDash val="solid"/>
        </a:ln>
      </spPr>
    </pic>
    <clientData/>
  </twoCellAnchor>
  <twoCellAnchor editAs="twoCell">
    <from>
      <col>4</col>
      <colOff>257040</colOff>
      <row>14</row>
      <rowOff>266760</rowOff>
    </from>
    <to>
      <col>4</col>
      <colOff>3647520</colOff>
      <row>15</row>
      <rowOff>28080</rowOff>
    </to>
    <pic>
      <nvPicPr>
        <cNvPr id="16" name="Picture 3" descr=""/>
        <cNvPicPr/>
      </nvPicPr>
      <blipFill>
        <a:blip r:embed="rId15"/>
        <a:stretch>
          <a:fillRect/>
        </a:stretch>
      </blipFill>
      <spPr>
        <a:xfrm>
          <a:off x="9061920" y="10267920"/>
          <a:ext cx="3390480" cy="475920"/>
        </a:xfrm>
        <a:prstGeom prst="rect">
          <avLst/>
        </a:prstGeom>
        <a:noFill/>
        <a:ln w="0">
          <a:noFill/>
          <a:prstDash val="solid"/>
        </a:ln>
      </spPr>
    </pic>
    <clientData/>
  </twoCellAnchor>
  <twoCellAnchor editAs="twoCell">
    <from>
      <col>4</col>
      <colOff>276120</colOff>
      <row>15</row>
      <rowOff>190440</rowOff>
    </from>
    <to>
      <col>4</col>
      <colOff>3619080</colOff>
      <row>15</row>
      <rowOff>675720</rowOff>
    </to>
    <pic>
      <nvPicPr>
        <cNvPr id="17" name="Picture 4" descr=""/>
        <cNvPicPr/>
      </nvPicPr>
      <blipFill>
        <a:blip r:embed="rId16"/>
        <a:stretch>
          <a:fillRect/>
        </a:stretch>
      </blipFill>
      <spPr>
        <a:xfrm>
          <a:off x="9081000" y="10906200"/>
          <a:ext cx="3342960" cy="485280"/>
        </a:xfrm>
        <a:prstGeom prst="rect">
          <avLst/>
        </a:prstGeom>
        <a:noFill/>
        <a:ln w="0">
          <a:noFill/>
          <a:prstDash val="solid"/>
        </a:ln>
      </spPr>
    </pic>
    <clientData/>
  </twoCellAnchor>
  <twoCellAnchor editAs="twoCell">
    <from>
      <col>4</col>
      <colOff>95400</colOff>
      <row>16</row>
      <rowOff>28440</rowOff>
    </from>
    <to>
      <col>4</col>
      <colOff>3638520</colOff>
      <row>16</row>
      <rowOff>437760</rowOff>
    </to>
    <pic>
      <nvPicPr>
        <cNvPr id="18" name="Picture 5" descr=""/>
        <cNvPicPr/>
      </nvPicPr>
      <blipFill>
        <a:blip r:embed="rId17"/>
        <a:stretch>
          <a:fillRect/>
        </a:stretch>
      </blipFill>
      <spPr>
        <a:xfrm>
          <a:off x="8900280" y="11458440"/>
          <a:ext cx="3543120" cy="409320"/>
        </a:xfrm>
        <a:prstGeom prst="rect">
          <avLst/>
        </a:prstGeom>
        <a:noFill/>
        <a:ln w="0">
          <a:noFill/>
          <a:prstDash val="solid"/>
        </a:ln>
      </spPr>
    </pic>
    <clientData/>
  </twoCellAnchor>
  <twoCellAnchor editAs="twoCell">
    <from>
      <col>4</col>
      <colOff>514440</colOff>
      <row>17</row>
      <rowOff>114480</rowOff>
    </from>
    <to>
      <col>4</col>
      <colOff>3333600</colOff>
      <row>17</row>
      <rowOff>399960</rowOff>
    </to>
    <pic>
      <nvPicPr>
        <cNvPr id="19" name="Picture 6" descr=""/>
        <cNvPicPr/>
      </nvPicPr>
      <blipFill>
        <a:blip r:embed="rId18"/>
        <a:stretch>
          <a:fillRect/>
        </a:stretch>
      </blipFill>
      <spPr>
        <a:xfrm>
          <a:off x="9319320" y="12258720"/>
          <a:ext cx="2819160" cy="285480"/>
        </a:xfrm>
        <a:prstGeom prst="rect">
          <avLst/>
        </a:prstGeom>
        <a:noFill/>
        <a:ln w="0">
          <a:noFill/>
          <a:prstDash val="solid"/>
        </a:ln>
      </spPr>
    </pic>
    <clientData/>
  </twoCellAnchor>
  <twoCellAnchor editAs="twoCell">
    <from>
      <col>4</col>
      <colOff>1200240</colOff>
      <row>17</row>
      <rowOff>457560</rowOff>
    </from>
    <to>
      <col>4</col>
      <colOff>2809440</colOff>
      <row>18</row>
      <rowOff>205920</rowOff>
    </to>
    <pic>
      <nvPicPr>
        <cNvPr id="20" name="Picture 7" descr=""/>
        <cNvPicPr/>
      </nvPicPr>
      <blipFill>
        <a:blip r:embed="rId19"/>
        <a:stretch>
          <a:fillRect/>
        </a:stretch>
      </blipFill>
      <spPr>
        <a:xfrm>
          <a:off x="10005120" y="12601800"/>
          <a:ext cx="1609200" cy="462960"/>
        </a:xfrm>
        <a:prstGeom prst="rect">
          <avLst/>
        </a:prstGeom>
        <a:noFill/>
        <a:ln w="0">
          <a:noFill/>
          <a:prstDash val="solid"/>
        </a:ln>
      </spPr>
    </pic>
    <clientData/>
  </twoCellAnchor>
  <twoCellAnchor editAs="twoCell">
    <from>
      <col>4</col>
      <colOff>533520</colOff>
      <row>18</row>
      <rowOff>285840</rowOff>
    </from>
    <to>
      <col>4</col>
      <colOff>3485880</colOff>
      <row>19</row>
      <rowOff>56880</rowOff>
    </to>
    <pic>
      <nvPicPr>
        <cNvPr id="21" name="Picture 8" descr=""/>
        <cNvPicPr/>
      </nvPicPr>
      <blipFill>
        <a:blip r:embed="rId20"/>
        <a:stretch>
          <a:fillRect/>
        </a:stretch>
      </blipFill>
      <spPr>
        <a:xfrm>
          <a:off x="9338400" y="13144680"/>
          <a:ext cx="2952360" cy="485280"/>
        </a:xfrm>
        <a:prstGeom prst="rect">
          <avLst/>
        </a:prstGeom>
        <a:noFill/>
        <a:ln w="0">
          <a:noFill/>
          <a:prstDash val="solid"/>
        </a:ln>
      </spPr>
    </pic>
    <clientData/>
  </twoCellAnchor>
  <twoCellAnchor editAs="twoCell">
    <from>
      <col>4</col>
      <colOff>152280</colOff>
      <row>10</row>
      <rowOff>66600</rowOff>
    </from>
    <to>
      <col>4</col>
      <colOff>3619080</colOff>
      <row>10</row>
      <rowOff>551880</rowOff>
    </to>
    <pic>
      <nvPicPr>
        <cNvPr id="22" name="Picture 9" descr=""/>
        <cNvPicPr/>
      </nvPicPr>
      <blipFill>
        <a:blip r:embed="rId21"/>
        <a:stretch>
          <a:fillRect/>
        </a:stretch>
      </blipFill>
      <spPr>
        <a:xfrm>
          <a:off x="8957160" y="7210440"/>
          <a:ext cx="3466800" cy="485280"/>
        </a:xfrm>
        <a:prstGeom prst="rect">
          <avLst/>
        </a:prstGeom>
        <a:noFill/>
        <a:ln w="0">
          <a:noFill/>
          <a:prstDash val="solid"/>
        </a:ln>
      </spPr>
    </pic>
    <clientData/>
  </twoCellAnchor>
  <twoCellAnchor editAs="twoCell">
    <from>
      <col>4</col>
      <colOff>181080</colOff>
      <row>10</row>
      <rowOff>600120</rowOff>
    </from>
    <to>
      <col>4</col>
      <colOff>3619080</colOff>
      <row>11</row>
      <rowOff>380880</rowOff>
    </to>
    <pic>
      <nvPicPr>
        <cNvPr id="23" name="Picture 11" descr=""/>
        <cNvPicPr/>
      </nvPicPr>
      <blipFill>
        <a:blip r:embed="rId22"/>
        <a:stretch>
          <a:fillRect/>
        </a:stretch>
      </blipFill>
      <spPr>
        <a:xfrm>
          <a:off x="8985960" y="7743960"/>
          <a:ext cx="3438000" cy="495000"/>
        </a:xfrm>
        <a:prstGeom prst="rect">
          <avLst/>
        </a:prstGeom>
        <a:noFill/>
        <a:ln w="0">
          <a:noFill/>
          <a:prstDash val="solid"/>
        </a:ln>
      </spPr>
    </pic>
    <clientData/>
  </twoCellAnchor>
  <twoCellAnchor editAs="twoCell">
    <from>
      <col>4</col>
      <colOff>1200240</colOff>
      <row>19</row>
      <rowOff>295560</rowOff>
    </from>
    <to>
      <col>4</col>
      <colOff>3304800</colOff>
      <row>20</row>
      <rowOff>75960</rowOff>
    </to>
    <pic>
      <nvPicPr>
        <cNvPr id="24" name="Picture 13" descr=""/>
        <cNvPicPr/>
      </nvPicPr>
      <blipFill>
        <a:blip r:embed="rId23"/>
        <a:stretch>
          <a:fillRect/>
        </a:stretch>
      </blipFill>
      <spPr>
        <a:xfrm>
          <a:off x="10005120" y="13868640"/>
          <a:ext cx="2104560" cy="495000"/>
        </a:xfrm>
        <a:prstGeom prst="rect">
          <avLst/>
        </a:prstGeom>
        <a:noFill/>
        <a:ln w="0">
          <a:noFill/>
          <a:prstDash val="solid"/>
        </a:ln>
      </spPr>
    </pic>
    <clientData/>
  </twoCellAnchor>
  <twoCellAnchor editAs="twoCell">
    <from>
      <col>4</col>
      <colOff>324000</colOff>
      <row>19</row>
      <rowOff>304920</rowOff>
    </from>
    <to>
      <col>4</col>
      <colOff>3676320</colOff>
      <row>20</row>
      <rowOff>66240</rowOff>
    </to>
    <pic>
      <nvPicPr>
        <cNvPr id="25" name="Picture 3" descr=""/>
        <cNvPicPr/>
      </nvPicPr>
      <blipFill>
        <a:blip r:embed="rId24"/>
        <a:stretch>
          <a:fillRect/>
        </a:stretch>
      </blipFill>
      <spPr>
        <a:xfrm>
          <a:off x="9128880" y="13878000"/>
          <a:ext cx="3352320" cy="475920"/>
        </a:xfrm>
        <a:prstGeom prst="rect">
          <avLst/>
        </a:prstGeom>
        <a:noFill/>
        <a:ln w="0">
          <a:noFill/>
          <a:prstDash val="solid"/>
        </a:ln>
      </spPr>
    </pic>
    <clientData/>
  </twoCellAnchor>
  <twoCellAnchor editAs="twoCell">
    <from>
      <col>4</col>
      <colOff>1143000</colOff>
      <row>4</row>
      <rowOff>475920</rowOff>
    </from>
    <to>
      <col>4</col>
      <colOff>3647880</colOff>
      <row>5</row>
      <rowOff>199440</rowOff>
    </to>
    <pic>
      <nvPicPr>
        <cNvPr id="26" name="Picture 6" descr=""/>
        <cNvPicPr/>
      </nvPicPr>
      <blipFill>
        <a:blip r:embed="rId25"/>
        <a:stretch>
          <a:fillRect/>
        </a:stretch>
      </blipFill>
      <spPr>
        <a:xfrm>
          <a:off x="9947880" y="3333600"/>
          <a:ext cx="2504880" cy="437760"/>
        </a:xfrm>
        <a:prstGeom prst="rect">
          <avLst/>
        </a:prstGeom>
        <a:noFill/>
        <a:ln w="0">
          <a:noFill/>
          <a:prstDash val="solid"/>
        </a:ln>
      </spPr>
    </pic>
    <clientData/>
  </twoCellAnchor>
  <twoCellAnchor editAs="twoCell">
    <from>
      <col>4</col>
      <colOff>1104840</colOff>
      <row>5</row>
      <rowOff>123480</rowOff>
    </from>
    <to>
      <col>4</col>
      <colOff>3628440</colOff>
      <row>5</row>
      <rowOff>561240</rowOff>
    </to>
    <pic>
      <nvPicPr>
        <cNvPr id="27" name="Picture 7" descr=""/>
        <cNvPicPr/>
      </nvPicPr>
      <blipFill>
        <a:blip r:embed="rId26"/>
        <a:stretch>
          <a:fillRect/>
        </a:stretch>
      </blipFill>
      <spPr>
        <a:xfrm>
          <a:off x="9909720" y="3695400"/>
          <a:ext cx="2523600" cy="437760"/>
        </a:xfrm>
        <a:prstGeom prst="rect">
          <avLst/>
        </a:prstGeom>
        <a:noFill/>
        <a:ln w="0">
          <a:noFill/>
          <a:prstDash val="solid"/>
        </a:ln>
      </spPr>
    </pic>
    <clientData/>
  </twoCellAnchor>
  <twoCellAnchor editAs="twoCell">
    <from>
      <col>4</col>
      <colOff>800280</colOff>
      <row>11</row>
      <rowOff>295200</rowOff>
    </from>
    <to>
      <col>4</col>
      <colOff>3105000</colOff>
      <row>12</row>
      <rowOff>56520</rowOff>
    </to>
    <pic>
      <nvPicPr>
        <cNvPr id="28" name="Imagen 27" descr=""/>
        <cNvPicPr/>
      </nvPicPr>
      <blipFill>
        <a:blip r:embed="rId27"/>
        <a:stretch>
          <a:fillRect/>
        </a:stretch>
      </blipFill>
      <spPr>
        <a:xfrm>
          <a:off x="9605160" y="8153280"/>
          <a:ext cx="2304720" cy="475920"/>
        </a:xfrm>
        <a:prstGeom prst="rect">
          <avLst/>
        </a:prstGeom>
        <a:noFill/>
        <a:ln w="0">
          <a:noFill/>
          <a:prstDash val="solid"/>
        </a:ln>
      </spPr>
    </pic>
    <clientData/>
  </twoCellAnchor>
</wsDr>
</file>

<file path=xl/theme/theme1.xml><?xml version="1.0" encoding="utf-8"?>
<a:theme xmlns:a="http://schemas.openxmlformats.org/drawingml/2006/main" xmlns:r="http://schemas.openxmlformats.org/officeDocument/2006/relationships" name="Office 2013 - Tema de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filterMode="0">
    <outlinePr summaryBelow="1" summaryRight="1"/>
    <pageSetUpPr fitToPage="1"/>
  </sheetPr>
  <dimension ref="A1:P28"/>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11328125" defaultRowHeight="12.75" customHeight="1" zeroHeight="0" outlineLevelRow="0"/>
  <cols>
    <col width="53.22" customWidth="1" style="40" min="1" max="1"/>
    <col width="17.89" customWidth="1" style="40" min="2" max="2"/>
    <col width="19.33" customWidth="1" style="40" min="3" max="15"/>
    <col width="6" customWidth="1" style="40" min="238" max="238"/>
    <col width="48.44" customWidth="1" style="40" min="239" max="239"/>
    <col width="17.89" customWidth="1" style="40" min="240" max="240"/>
    <col width="19.33" customWidth="1" style="40" min="241" max="252"/>
    <col width="6" customWidth="1" style="40" min="494" max="494"/>
    <col width="48.44" customWidth="1" style="40" min="495" max="495"/>
    <col width="17.89" customWidth="1" style="40" min="496" max="496"/>
    <col width="19.33" customWidth="1" style="40" min="497" max="508"/>
    <col width="6" customWidth="1" style="40" min="750" max="750"/>
    <col width="48.44" customWidth="1" style="40" min="751" max="751"/>
    <col width="17.89" customWidth="1" style="40" min="752" max="752"/>
    <col width="19.33" customWidth="1" style="40" min="753" max="764"/>
    <col width="6" customWidth="1" style="40" min="1006" max="1006"/>
    <col width="48.44" customWidth="1" style="40" min="1007" max="1007"/>
    <col width="17.89" customWidth="1" style="40" min="1008" max="1008"/>
    <col width="19.33" customWidth="1" style="40" min="1009" max="1020"/>
    <col width="6" customWidth="1" style="40" min="1262" max="1262"/>
    <col width="48.44" customWidth="1" style="40" min="1263" max="1263"/>
    <col width="17.89" customWidth="1" style="40" min="1264" max="1264"/>
    <col width="19.33" customWidth="1" style="40" min="1265" max="1276"/>
    <col width="6" customWidth="1" style="40" min="1518" max="1518"/>
    <col width="48.44" customWidth="1" style="40" min="1519" max="1519"/>
    <col width="17.89" customWidth="1" style="40" min="1520" max="1520"/>
    <col width="19.33" customWidth="1" style="40" min="1521" max="1532"/>
    <col width="6" customWidth="1" style="40" min="1774" max="1774"/>
    <col width="48.44" customWidth="1" style="40" min="1775" max="1775"/>
    <col width="17.89" customWidth="1" style="40" min="1776" max="1776"/>
    <col width="19.33" customWidth="1" style="40" min="1777" max="1788"/>
    <col width="6" customWidth="1" style="40" min="2030" max="2030"/>
    <col width="48.44" customWidth="1" style="40" min="2031" max="2031"/>
    <col width="17.89" customWidth="1" style="40" min="2032" max="2032"/>
    <col width="19.33" customWidth="1" style="40" min="2033" max="2044"/>
    <col width="6" customWidth="1" style="40" min="2286" max="2286"/>
    <col width="48.44" customWidth="1" style="40" min="2287" max="2287"/>
    <col width="17.89" customWidth="1" style="40" min="2288" max="2288"/>
    <col width="19.33" customWidth="1" style="40" min="2289" max="2300"/>
    <col width="6" customWidth="1" style="40" min="2542" max="2542"/>
    <col width="48.44" customWidth="1" style="40" min="2543" max="2543"/>
    <col width="17.89" customWidth="1" style="40" min="2544" max="2544"/>
    <col width="19.33" customWidth="1" style="40" min="2545" max="2556"/>
    <col width="6" customWidth="1" style="40" min="2798" max="2798"/>
    <col width="48.44" customWidth="1" style="40" min="2799" max="2799"/>
    <col width="17.89" customWidth="1" style="40" min="2800" max="2800"/>
    <col width="19.33" customWidth="1" style="40" min="2801" max="2812"/>
    <col width="6" customWidth="1" style="40" min="3054" max="3054"/>
    <col width="48.44" customWidth="1" style="40" min="3055" max="3055"/>
    <col width="17.89" customWidth="1" style="40" min="3056" max="3056"/>
    <col width="19.33" customWidth="1" style="40" min="3057" max="3068"/>
    <col width="6" customWidth="1" style="40" min="3310" max="3310"/>
    <col width="48.44" customWidth="1" style="40" min="3311" max="3311"/>
    <col width="17.89" customWidth="1" style="40" min="3312" max="3312"/>
    <col width="19.33" customWidth="1" style="40" min="3313" max="3324"/>
    <col width="6" customWidth="1" style="40" min="3566" max="3566"/>
    <col width="48.44" customWidth="1" style="40" min="3567" max="3567"/>
    <col width="17.89" customWidth="1" style="40" min="3568" max="3568"/>
    <col width="19.33" customWidth="1" style="40" min="3569" max="3580"/>
    <col width="6" customWidth="1" style="40" min="3822" max="3822"/>
    <col width="48.44" customWidth="1" style="40" min="3823" max="3823"/>
    <col width="17.89" customWidth="1" style="40" min="3824" max="3824"/>
    <col width="19.33" customWidth="1" style="40" min="3825" max="3836"/>
    <col width="6" customWidth="1" style="40" min="4078" max="4078"/>
    <col width="48.44" customWidth="1" style="40" min="4079" max="4079"/>
    <col width="17.89" customWidth="1" style="40" min="4080" max="4080"/>
    <col width="19.33" customWidth="1" style="40" min="4081" max="4092"/>
    <col width="6" customWidth="1" style="40" min="4334" max="4334"/>
    <col width="48.44" customWidth="1" style="40" min="4335" max="4335"/>
    <col width="17.89" customWidth="1" style="40" min="4336" max="4336"/>
    <col width="19.33" customWidth="1" style="40" min="4337" max="4348"/>
    <col width="6" customWidth="1" style="40" min="4590" max="4590"/>
    <col width="48.44" customWidth="1" style="40" min="4591" max="4591"/>
    <col width="17.89" customWidth="1" style="40" min="4592" max="4592"/>
    <col width="19.33" customWidth="1" style="40" min="4593" max="4604"/>
    <col width="6" customWidth="1" style="40" min="4846" max="4846"/>
    <col width="48.44" customWidth="1" style="40" min="4847" max="4847"/>
    <col width="17.89" customWidth="1" style="40" min="4848" max="4848"/>
    <col width="19.33" customWidth="1" style="40" min="4849" max="4860"/>
    <col width="6" customWidth="1" style="40" min="5102" max="5102"/>
    <col width="48.44" customWidth="1" style="40" min="5103" max="5103"/>
    <col width="17.89" customWidth="1" style="40" min="5104" max="5104"/>
    <col width="19.33" customWidth="1" style="40" min="5105" max="5116"/>
    <col width="6" customWidth="1" style="40" min="5358" max="5358"/>
    <col width="48.44" customWidth="1" style="40" min="5359" max="5359"/>
    <col width="17.89" customWidth="1" style="40" min="5360" max="5360"/>
    <col width="19.33" customWidth="1" style="40" min="5361" max="5372"/>
    <col width="6" customWidth="1" style="40" min="5614" max="5614"/>
    <col width="48.44" customWidth="1" style="40" min="5615" max="5615"/>
    <col width="17.89" customWidth="1" style="40" min="5616" max="5616"/>
    <col width="19.33" customWidth="1" style="40" min="5617" max="5628"/>
    <col width="6" customWidth="1" style="40" min="5870" max="5870"/>
    <col width="48.44" customWidth="1" style="40" min="5871" max="5871"/>
    <col width="17.89" customWidth="1" style="40" min="5872" max="5872"/>
    <col width="19.33" customWidth="1" style="40" min="5873" max="5884"/>
    <col width="6" customWidth="1" style="40" min="6126" max="6126"/>
    <col width="48.44" customWidth="1" style="40" min="6127" max="6127"/>
    <col width="17.89" customWidth="1" style="40" min="6128" max="6128"/>
    <col width="19.33" customWidth="1" style="40" min="6129" max="6140"/>
    <col width="6" customWidth="1" style="40" min="6382" max="6382"/>
    <col width="48.44" customWidth="1" style="40" min="6383" max="6383"/>
    <col width="17.89" customWidth="1" style="40" min="6384" max="6384"/>
    <col width="19.33" customWidth="1" style="40" min="6385" max="6396"/>
    <col width="6" customWidth="1" style="40" min="6638" max="6638"/>
    <col width="48.44" customWidth="1" style="40" min="6639" max="6639"/>
    <col width="17.89" customWidth="1" style="40" min="6640" max="6640"/>
    <col width="19.33" customWidth="1" style="40" min="6641" max="6652"/>
    <col width="6" customWidth="1" style="40" min="6894" max="6894"/>
    <col width="48.44" customWidth="1" style="40" min="6895" max="6895"/>
    <col width="17.89" customWidth="1" style="40" min="6896" max="6896"/>
    <col width="19.33" customWidth="1" style="40" min="6897" max="6908"/>
    <col width="6" customWidth="1" style="40" min="7150" max="7150"/>
    <col width="48.44" customWidth="1" style="40" min="7151" max="7151"/>
    <col width="17.89" customWidth="1" style="40" min="7152" max="7152"/>
    <col width="19.33" customWidth="1" style="40" min="7153" max="7164"/>
    <col width="6" customWidth="1" style="40" min="7406" max="7406"/>
    <col width="48.44" customWidth="1" style="40" min="7407" max="7407"/>
    <col width="17.89" customWidth="1" style="40" min="7408" max="7408"/>
    <col width="19.33" customWidth="1" style="40" min="7409" max="7420"/>
    <col width="6" customWidth="1" style="40" min="7662" max="7662"/>
    <col width="48.44" customWidth="1" style="40" min="7663" max="7663"/>
    <col width="17.89" customWidth="1" style="40" min="7664" max="7664"/>
    <col width="19.33" customWidth="1" style="40" min="7665" max="7676"/>
    <col width="6" customWidth="1" style="40" min="7918" max="7918"/>
    <col width="48.44" customWidth="1" style="40" min="7919" max="7919"/>
    <col width="17.89" customWidth="1" style="40" min="7920" max="7920"/>
    <col width="19.33" customWidth="1" style="40" min="7921" max="7932"/>
    <col width="6" customWidth="1" style="40" min="8174" max="8174"/>
    <col width="48.44" customWidth="1" style="40" min="8175" max="8175"/>
    <col width="17.89" customWidth="1" style="40" min="8176" max="8176"/>
    <col width="19.33" customWidth="1" style="40" min="8177" max="8188"/>
    <col width="6" customWidth="1" style="40" min="8430" max="8430"/>
    <col width="48.44" customWidth="1" style="40" min="8431" max="8431"/>
    <col width="17.89" customWidth="1" style="40" min="8432" max="8432"/>
    <col width="19.33" customWidth="1" style="40" min="8433" max="8444"/>
    <col width="6" customWidth="1" style="40" min="8686" max="8686"/>
    <col width="48.44" customWidth="1" style="40" min="8687" max="8687"/>
    <col width="17.89" customWidth="1" style="40" min="8688" max="8688"/>
    <col width="19.33" customWidth="1" style="40" min="8689" max="8700"/>
    <col width="6" customWidth="1" style="40" min="8942" max="8942"/>
    <col width="48.44" customWidth="1" style="40" min="8943" max="8943"/>
    <col width="17.89" customWidth="1" style="40" min="8944" max="8944"/>
    <col width="19.33" customWidth="1" style="40" min="8945" max="8956"/>
    <col width="6" customWidth="1" style="40" min="9198" max="9198"/>
    <col width="48.44" customWidth="1" style="40" min="9199" max="9199"/>
    <col width="17.89" customWidth="1" style="40" min="9200" max="9200"/>
    <col width="19.33" customWidth="1" style="40" min="9201" max="9212"/>
    <col width="6" customWidth="1" style="40" min="9454" max="9454"/>
    <col width="48.44" customWidth="1" style="40" min="9455" max="9455"/>
    <col width="17.89" customWidth="1" style="40" min="9456" max="9456"/>
    <col width="19.33" customWidth="1" style="40" min="9457" max="9468"/>
    <col width="6" customWidth="1" style="40" min="9710" max="9710"/>
    <col width="48.44" customWidth="1" style="40" min="9711" max="9711"/>
    <col width="17.89" customWidth="1" style="40" min="9712" max="9712"/>
    <col width="19.33" customWidth="1" style="40" min="9713" max="9724"/>
    <col width="6" customWidth="1" style="40" min="9966" max="9966"/>
    <col width="48.44" customWidth="1" style="40" min="9967" max="9967"/>
    <col width="17.89" customWidth="1" style="40" min="9968" max="9968"/>
    <col width="19.33" customWidth="1" style="40" min="9969" max="9980"/>
    <col width="6" customWidth="1" style="40" min="10222" max="10222"/>
    <col width="48.44" customWidth="1" style="40" min="10223" max="10223"/>
    <col width="17.89" customWidth="1" style="40" min="10224" max="10224"/>
    <col width="19.33" customWidth="1" style="40" min="10225" max="10236"/>
    <col width="6" customWidth="1" style="40" min="10478" max="10478"/>
    <col width="48.44" customWidth="1" style="40" min="10479" max="10479"/>
    <col width="17.89" customWidth="1" style="40" min="10480" max="10480"/>
    <col width="19.33" customWidth="1" style="40" min="10481" max="10492"/>
    <col width="6" customWidth="1" style="40" min="10734" max="10734"/>
    <col width="48.44" customWidth="1" style="40" min="10735" max="10735"/>
    <col width="17.89" customWidth="1" style="40" min="10736" max="10736"/>
    <col width="19.33" customWidth="1" style="40" min="10737" max="10748"/>
    <col width="6" customWidth="1" style="40" min="10990" max="10990"/>
    <col width="48.44" customWidth="1" style="40" min="10991" max="10991"/>
    <col width="17.89" customWidth="1" style="40" min="10992" max="10992"/>
    <col width="19.33" customWidth="1" style="40" min="10993" max="11004"/>
    <col width="6" customWidth="1" style="40" min="11246" max="11246"/>
    <col width="48.44" customWidth="1" style="40" min="11247" max="11247"/>
    <col width="17.89" customWidth="1" style="40" min="11248" max="11248"/>
    <col width="19.33" customWidth="1" style="40" min="11249" max="11260"/>
    <col width="6" customWidth="1" style="40" min="11502" max="11502"/>
    <col width="48.44" customWidth="1" style="40" min="11503" max="11503"/>
    <col width="17.89" customWidth="1" style="40" min="11504" max="11504"/>
    <col width="19.33" customWidth="1" style="40" min="11505" max="11516"/>
    <col width="6" customWidth="1" style="40" min="11758" max="11758"/>
    <col width="48.44" customWidth="1" style="40" min="11759" max="11759"/>
    <col width="17.89" customWidth="1" style="40" min="11760" max="11760"/>
    <col width="19.33" customWidth="1" style="40" min="11761" max="11772"/>
    <col width="6" customWidth="1" style="40" min="12014" max="12014"/>
    <col width="48.44" customWidth="1" style="40" min="12015" max="12015"/>
    <col width="17.89" customWidth="1" style="40" min="12016" max="12016"/>
    <col width="19.33" customWidth="1" style="40" min="12017" max="12028"/>
    <col width="6" customWidth="1" style="40" min="12270" max="12270"/>
    <col width="48.44" customWidth="1" style="40" min="12271" max="12271"/>
    <col width="17.89" customWidth="1" style="40" min="12272" max="12272"/>
    <col width="19.33" customWidth="1" style="40" min="12273" max="12284"/>
    <col width="6" customWidth="1" style="40" min="12526" max="12526"/>
    <col width="48.44" customWidth="1" style="40" min="12527" max="12527"/>
    <col width="17.89" customWidth="1" style="40" min="12528" max="12528"/>
    <col width="19.33" customWidth="1" style="40" min="12529" max="12540"/>
    <col width="6" customWidth="1" style="40" min="12782" max="12782"/>
    <col width="48.44" customWidth="1" style="40" min="12783" max="12783"/>
    <col width="17.89" customWidth="1" style="40" min="12784" max="12784"/>
    <col width="19.33" customWidth="1" style="40" min="12785" max="12796"/>
    <col width="6" customWidth="1" style="40" min="13038" max="13038"/>
    <col width="48.44" customWidth="1" style="40" min="13039" max="13039"/>
    <col width="17.89" customWidth="1" style="40" min="13040" max="13040"/>
    <col width="19.33" customWidth="1" style="40" min="13041" max="13052"/>
    <col width="6" customWidth="1" style="40" min="13294" max="13294"/>
    <col width="48.44" customWidth="1" style="40" min="13295" max="13295"/>
    <col width="17.89" customWidth="1" style="40" min="13296" max="13296"/>
    <col width="19.33" customWidth="1" style="40" min="13297" max="13308"/>
    <col width="6" customWidth="1" style="40" min="13550" max="13550"/>
    <col width="48.44" customWidth="1" style="40" min="13551" max="13551"/>
    <col width="17.89" customWidth="1" style="40" min="13552" max="13552"/>
    <col width="19.33" customWidth="1" style="40" min="13553" max="13564"/>
    <col width="6" customWidth="1" style="40" min="13806" max="13806"/>
    <col width="48.44" customWidth="1" style="40" min="13807" max="13807"/>
    <col width="17.89" customWidth="1" style="40" min="13808" max="13808"/>
    <col width="19.33" customWidth="1" style="40" min="13809" max="13820"/>
    <col width="6" customWidth="1" style="40" min="14062" max="14062"/>
    <col width="48.44" customWidth="1" style="40" min="14063" max="14063"/>
    <col width="17.89" customWidth="1" style="40" min="14064" max="14064"/>
    <col width="19.33" customWidth="1" style="40" min="14065" max="14076"/>
    <col width="6" customWidth="1" style="40" min="14318" max="14318"/>
    <col width="48.44" customWidth="1" style="40" min="14319" max="14319"/>
    <col width="17.89" customWidth="1" style="40" min="14320" max="14320"/>
    <col width="19.33" customWidth="1" style="40" min="14321" max="14332"/>
    <col width="6" customWidth="1" style="40" min="14574" max="14574"/>
    <col width="48.44" customWidth="1" style="40" min="14575" max="14575"/>
    <col width="17.89" customWidth="1" style="40" min="14576" max="14576"/>
    <col width="19.33" customWidth="1" style="40" min="14577" max="14588"/>
    <col width="6" customWidth="1" style="40" min="14830" max="14830"/>
    <col width="48.44" customWidth="1" style="40" min="14831" max="14831"/>
    <col width="17.89" customWidth="1" style="40" min="14832" max="14832"/>
    <col width="19.33" customWidth="1" style="40" min="14833" max="14844"/>
    <col width="6" customWidth="1" style="40" min="15086" max="15086"/>
    <col width="48.44" customWidth="1" style="40" min="15087" max="15087"/>
    <col width="17.89" customWidth="1" style="40" min="15088" max="15088"/>
    <col width="19.33" customWidth="1" style="40" min="15089" max="15100"/>
    <col width="6" customWidth="1" style="40" min="15342" max="15342"/>
    <col width="48.44" customWidth="1" style="40" min="15343" max="15343"/>
    <col width="17.89" customWidth="1" style="40" min="15344" max="15344"/>
    <col width="19.33" customWidth="1" style="40" min="15345" max="15356"/>
    <col width="6" customWidth="1" style="40" min="15598" max="15598"/>
    <col width="48.44" customWidth="1" style="40" min="15599" max="15599"/>
    <col width="17.89" customWidth="1" style="40" min="15600" max="15600"/>
    <col width="19.33" customWidth="1" style="40" min="15601" max="15612"/>
    <col width="6" customWidth="1" style="40" min="15854" max="15854"/>
    <col width="48.44" customWidth="1" style="40" min="15855" max="15855"/>
    <col width="17.89" customWidth="1" style="40" min="15856" max="15856"/>
    <col width="19.33" customWidth="1" style="40" min="15857" max="15868"/>
    <col width="6" customWidth="1" style="40" min="16110" max="16110"/>
    <col width="48.44" customWidth="1" style="40" min="16111" max="16111"/>
    <col width="17.89" customWidth="1" style="40" min="16112" max="16112"/>
    <col width="19.33" customWidth="1" style="40" min="16113" max="16124"/>
    <col width="11.74" customWidth="1" style="40" min="16384" max="16384"/>
  </cols>
  <sheetData>
    <row r="1" ht="33" customHeight="1" s="41">
      <c r="A1" s="42" t="inlineStr">
        <is>
          <t>Indicador</t>
        </is>
      </c>
      <c r="B1" s="43" t="inlineStr">
        <is>
          <t>Banco Agrícola, S.A.</t>
        </is>
      </c>
      <c r="C1" s="43" t="inlineStr">
        <is>
          <t>Banco Cuscatlán de El Salvador, S.A.</t>
        </is>
      </c>
      <c r="D1" s="43" t="inlineStr">
        <is>
          <t>Banco Davivienda Salvadoreño, S.A.</t>
        </is>
      </c>
      <c r="E1" s="43" t="inlineStr">
        <is>
          <t>Banco Hipotecario de El Salvador, S.A.</t>
        </is>
      </c>
      <c r="F1" s="43" t="inlineStr">
        <is>
          <t>Citibank N.A., Sucursal El Salvador</t>
        </is>
      </c>
      <c r="G1" s="43" t="inlineStr">
        <is>
          <t>Banco de Fomento Agropecuario</t>
        </is>
      </c>
      <c r="H1" s="43" t="inlineStr">
        <is>
          <t>Banco Promérica, S.A.</t>
        </is>
      </c>
      <c r="I1" s="43" t="inlineStr">
        <is>
          <t>Banco de América Central, S.A.</t>
        </is>
      </c>
      <c r="J1" s="43" t="inlineStr">
        <is>
          <t xml:space="preserve">Banco Abank, S.A.  </t>
        </is>
      </c>
      <c r="K1" s="43" t="inlineStr">
        <is>
          <t xml:space="preserve">Banco Industrial El Salvador, S.A. </t>
        </is>
      </c>
      <c r="L1" s="43" t="inlineStr">
        <is>
          <t>Banco Azul El Salvador, S.A.</t>
        </is>
      </c>
      <c r="M1" s="44" t="inlineStr">
        <is>
          <t>Banco Apoyo Integral, S.A.</t>
        </is>
      </c>
      <c r="N1" s="44" t="inlineStr">
        <is>
          <t>Banco Atlántida El Salvador, S.A.</t>
        </is>
      </c>
      <c r="O1" s="45" t="inlineStr">
        <is>
          <t>Sistema Bancario</t>
        </is>
      </c>
    </row>
    <row r="2" ht="15" customHeight="1" s="41">
      <c r="A2" s="46" t="inlineStr">
        <is>
          <t>Coeficiente patrimonial</t>
        </is>
      </c>
      <c r="B2" s="47" t="n">
        <v>0.16385188845324</v>
      </c>
      <c r="C2" s="47" t="n">
        <v>0.14730371174438</v>
      </c>
      <c r="D2" s="47" t="n">
        <v>0.14843407797691</v>
      </c>
      <c r="E2" s="47" t="n">
        <v>0.18754803555714</v>
      </c>
      <c r="F2" s="47" t="n">
        <v>0.91653318340502</v>
      </c>
      <c r="G2" s="47" t="n">
        <v>0.16626812822732</v>
      </c>
      <c r="H2" s="47" t="n">
        <v>0.14653756458984</v>
      </c>
      <c r="I2" s="47" t="n">
        <v>0.12840408802803</v>
      </c>
      <c r="J2" s="47" t="n">
        <v>0.24684655660302</v>
      </c>
      <c r="K2" s="47" t="n">
        <v>0.15961338444203</v>
      </c>
      <c r="L2" s="47" t="n">
        <v>0.16582681433094</v>
      </c>
      <c r="M2" s="47" t="n">
        <v>0.1786731719109</v>
      </c>
      <c r="N2" s="47" t="n">
        <v>0.12938570399428</v>
      </c>
      <c r="O2" s="47" t="n">
        <v>0.15472692643549</v>
      </c>
    </row>
    <row r="3" ht="16.5" customHeight="1" s="41">
      <c r="A3" s="46" t="inlineStr">
        <is>
          <t>Endeudamiento legal</t>
        </is>
      </c>
      <c r="B3" s="47" t="n">
        <v>0.12831331801907</v>
      </c>
      <c r="C3" s="47" t="n">
        <v>0.12089476380389</v>
      </c>
      <c r="D3" s="47" t="n">
        <v>0.11487446390221</v>
      </c>
      <c r="E3" s="47" t="n">
        <v>0.09883826124984001</v>
      </c>
      <c r="F3" s="47" t="n">
        <v>0.27561618303521</v>
      </c>
      <c r="G3" s="47" t="n">
        <v>0.15586941701533</v>
      </c>
      <c r="H3" s="47" t="n">
        <v>0.11532476656397</v>
      </c>
      <c r="I3" s="47" t="n">
        <v>0.10045429524836</v>
      </c>
      <c r="J3" s="47" t="n">
        <v>0.22344719660331</v>
      </c>
      <c r="K3" s="47" t="n">
        <v>0.14601919379803</v>
      </c>
      <c r="L3" s="47" t="n">
        <v>0.12509082544443</v>
      </c>
      <c r="M3" s="47" t="n">
        <v>0.1713270305858</v>
      </c>
      <c r="N3" s="47" t="n">
        <v>0.10269207158725</v>
      </c>
      <c r="O3" s="47" t="n">
        <v>0.11934130251014</v>
      </c>
    </row>
    <row r="4" ht="16.5" customHeight="1" s="41">
      <c r="A4" s="46" t="inlineStr">
        <is>
          <t>Inversión en activos fijos</t>
        </is>
      </c>
      <c r="B4" s="47" t="n">
        <v>0.17613853791545</v>
      </c>
      <c r="C4" s="47" t="n">
        <v>0.23669095005284</v>
      </c>
      <c r="D4" s="47" t="n">
        <v>0.17098118342135</v>
      </c>
      <c r="E4" s="47" t="n">
        <v>0.10836836019846</v>
      </c>
      <c r="F4" s="47" t="n">
        <v>0.05846720489381</v>
      </c>
      <c r="G4" s="47" t="n">
        <v>0.25709386078361</v>
      </c>
      <c r="H4" s="47" t="n">
        <v>0.19348762101662</v>
      </c>
      <c r="I4" s="47" t="n">
        <v>0.14856437320427</v>
      </c>
      <c r="J4" s="47" t="n">
        <v>0.22992272603112</v>
      </c>
      <c r="K4" s="47" t="n">
        <v>0.05233706690153</v>
      </c>
      <c r="L4" s="47" t="n">
        <v>0.23697704598562</v>
      </c>
      <c r="M4" s="47" t="n">
        <v>0.2374476466484</v>
      </c>
      <c r="N4" s="47" t="n">
        <v>0.22904286928137</v>
      </c>
      <c r="O4" s="47" t="n">
        <v>0.17958458009368</v>
      </c>
    </row>
    <row r="5" ht="57" customHeight="1" s="41">
      <c r="A5" s="46" t="inlineStr">
        <is>
          <t>Lim operac interban activas</t>
        </is>
      </c>
      <c r="B5" s="47" t="n">
        <v>0.00132296151673</v>
      </c>
      <c r="C5" s="47" t="n">
        <v>0</v>
      </c>
      <c r="D5" s="47" t="n">
        <v>0</v>
      </c>
      <c r="E5" s="48" t="n">
        <v>0</v>
      </c>
      <c r="F5" s="48" t="n">
        <v>0</v>
      </c>
      <c r="G5" s="48" t="n">
        <v>0</v>
      </c>
      <c r="H5" s="48" t="n">
        <v>0</v>
      </c>
      <c r="I5" s="48" t="n">
        <v>0</v>
      </c>
      <c r="J5" s="48" t="n">
        <v>0</v>
      </c>
      <c r="K5" s="47" t="n">
        <v>0</v>
      </c>
      <c r="L5" s="48" t="n">
        <v>0</v>
      </c>
      <c r="M5" s="48" t="n">
        <v>0</v>
      </c>
      <c r="N5" s="48" t="n">
        <v>0</v>
      </c>
      <c r="O5" s="48" t="n">
        <v>0.00034349742525</v>
      </c>
    </row>
    <row r="6" ht="16.5" customHeight="1" s="41">
      <c r="A6" s="46" t="inlineStr">
        <is>
          <t>Lim operac interban pasivas</t>
        </is>
      </c>
      <c r="B6" s="47" t="n">
        <v>0</v>
      </c>
      <c r="C6" s="47" t="n">
        <v>0</v>
      </c>
      <c r="D6" s="47" t="n">
        <v>0</v>
      </c>
      <c r="E6" s="48" t="n">
        <v>0</v>
      </c>
      <c r="F6" s="48" t="n">
        <v>0</v>
      </c>
      <c r="G6" s="48" t="n">
        <v>0</v>
      </c>
      <c r="H6" s="48" t="n">
        <v>0</v>
      </c>
      <c r="I6" s="48" t="n">
        <v>0</v>
      </c>
      <c r="J6" s="48" t="n">
        <v>0.0515461488865</v>
      </c>
      <c r="K6" s="47" t="n">
        <v>0</v>
      </c>
      <c r="L6" s="48" t="n">
        <v>0</v>
      </c>
      <c r="M6" s="48" t="n">
        <v>0</v>
      </c>
      <c r="N6" s="48" t="n">
        <v>0</v>
      </c>
      <c r="O6" s="48" t="n">
        <v>0.00067483548982</v>
      </c>
    </row>
    <row r="7" ht="15" customHeight="1" s="41">
      <c r="A7" s="46" t="inlineStr">
        <is>
          <t>Productividad de préstamos</t>
        </is>
      </c>
      <c r="B7" s="47" t="n">
        <v>0.10945010973783</v>
      </c>
      <c r="C7" s="47" t="n">
        <v>0.10013381457627</v>
      </c>
      <c r="D7" s="47" t="n">
        <v>0.10771225054513</v>
      </c>
      <c r="E7" s="47" t="n">
        <v>0.08906418643708</v>
      </c>
      <c r="F7" s="47" t="n">
        <v>0.07089807253465</v>
      </c>
      <c r="G7" s="47" t="n">
        <v>0.11568612334887</v>
      </c>
      <c r="H7" s="47" t="n">
        <v>0.12340493633607</v>
      </c>
      <c r="I7" s="47" t="n">
        <v>0.1103571247669</v>
      </c>
      <c r="J7" s="47" t="n">
        <v>0.32735895619926</v>
      </c>
      <c r="K7" s="47" t="n">
        <v>0.08392350539297</v>
      </c>
      <c r="L7" s="47" t="n">
        <v>0.10780296561342</v>
      </c>
      <c r="M7" s="47" t="n">
        <v>0.22244135338667</v>
      </c>
      <c r="N7" s="47" t="n">
        <v>0.0972850639987</v>
      </c>
      <c r="O7" s="47" t="n">
        <v>0.10863631308351</v>
      </c>
    </row>
    <row r="8" ht="15" customHeight="1" s="41">
      <c r="A8" s="46" t="inlineStr">
        <is>
          <t>Rendimiento activos productivos</t>
        </is>
      </c>
      <c r="B8" s="47" t="n">
        <v>0.10800495586213</v>
      </c>
      <c r="C8" s="47" t="n">
        <v>0.10133087832158</v>
      </c>
      <c r="D8" s="47" t="n">
        <v>0.10468812300916</v>
      </c>
      <c r="E8" s="47" t="n">
        <v>0.09035543521545999</v>
      </c>
      <c r="F8" s="47" t="n">
        <v>0.11359564696081</v>
      </c>
      <c r="G8" s="47" t="n">
        <v>0.12341467131851</v>
      </c>
      <c r="H8" s="47" t="n">
        <v>0.12335966628097</v>
      </c>
      <c r="I8" s="47" t="n">
        <v>0.10637928072632</v>
      </c>
      <c r="J8" s="47" t="n">
        <v>0.28567874856117</v>
      </c>
      <c r="K8" s="47" t="n">
        <v>0.08545288731877</v>
      </c>
      <c r="L8" s="47" t="n">
        <v>0.10808363367176</v>
      </c>
      <c r="M8" s="47" t="n">
        <v>0.23103902485289</v>
      </c>
      <c r="N8" s="47" t="n">
        <v>0.09844983333773</v>
      </c>
      <c r="O8" s="47" t="n">
        <v>0.1070021871359</v>
      </c>
    </row>
    <row r="9" ht="15" customHeight="1" s="41">
      <c r="A9" s="46" t="inlineStr">
        <is>
          <t>Costo financiero</t>
        </is>
      </c>
      <c r="B9" s="47" t="n">
        <v>0.02314524755424</v>
      </c>
      <c r="C9" s="47" t="n">
        <v>0.03378131224329</v>
      </c>
      <c r="D9" s="47" t="n">
        <v>0.04339181518201</v>
      </c>
      <c r="E9" s="47" t="n">
        <v>0.05270069087976</v>
      </c>
      <c r="F9" s="47" t="n">
        <v>0.0128823422234</v>
      </c>
      <c r="G9" s="47" t="n">
        <v>0.02357337759999</v>
      </c>
      <c r="H9" s="47" t="n">
        <v>0.05768692582772</v>
      </c>
      <c r="I9" s="47" t="n">
        <v>0.03857408404073</v>
      </c>
      <c r="J9" s="47" t="n">
        <v>0.06678578312362</v>
      </c>
      <c r="K9" s="47" t="n">
        <v>0.05047564660999</v>
      </c>
      <c r="L9" s="47" t="n">
        <v>0.05787043794947</v>
      </c>
      <c r="M9" s="47" t="n">
        <v>0.06568998125392</v>
      </c>
      <c r="N9" s="47" t="n">
        <v>0.06346314801429</v>
      </c>
      <c r="O9" s="47" t="n">
        <v>0.03949926812417</v>
      </c>
    </row>
    <row r="10" ht="15" customHeight="1" s="41">
      <c r="A10" s="46" t="inlineStr">
        <is>
          <t>Costo de depósitos</t>
        </is>
      </c>
      <c r="B10" s="47" t="n">
        <v>0.01366312376474</v>
      </c>
      <c r="C10" s="47" t="n">
        <v>0.0210210895396</v>
      </c>
      <c r="D10" s="47" t="n">
        <v>0.03280586325464</v>
      </c>
      <c r="E10" s="47" t="n">
        <v>0.04216323445084</v>
      </c>
      <c r="F10" s="47" t="n">
        <v>0.00158437393684</v>
      </c>
      <c r="G10" s="47" t="n">
        <v>0.01521756418176</v>
      </c>
      <c r="H10" s="47" t="n">
        <v>0.03128227359843</v>
      </c>
      <c r="I10" s="47" t="n">
        <v>0.02846567744245</v>
      </c>
      <c r="J10" s="47" t="n">
        <v>0.06056549030142</v>
      </c>
      <c r="K10" s="47" t="n">
        <v>0.04427256094752</v>
      </c>
      <c r="L10" s="47" t="n">
        <v>0.04858782018015</v>
      </c>
      <c r="M10" s="47" t="n">
        <v>0.05127826211009</v>
      </c>
      <c r="N10" s="47" t="n">
        <v>0.05182685439429</v>
      </c>
      <c r="O10" s="47" t="n">
        <v>0.02737950941562</v>
      </c>
    </row>
    <row r="11" ht="15" customHeight="1" s="41">
      <c r="A11" s="46" t="inlineStr">
        <is>
          <t>Capacidad absorc. saneamientos</t>
        </is>
      </c>
      <c r="B11" s="47" t="n">
        <v>0.21240507887374</v>
      </c>
      <c r="C11" s="47" t="n">
        <v>0.25577840390659</v>
      </c>
      <c r="D11" s="47" t="n">
        <v>0.3911745900516</v>
      </c>
      <c r="E11" s="47" t="n">
        <v>0.30606429388238</v>
      </c>
      <c r="F11" s="47" t="n">
        <v>0</v>
      </c>
      <c r="G11" s="47" t="n">
        <v>0.05601520062609</v>
      </c>
      <c r="H11" s="47" t="n">
        <v>0.34378376736491</v>
      </c>
      <c r="I11" s="47" t="n">
        <v>0.38462534489802</v>
      </c>
      <c r="J11" s="47" t="n">
        <v>0.44247985533613</v>
      </c>
      <c r="K11" s="47" t="n">
        <v>0.01166863830006</v>
      </c>
      <c r="L11" s="47" t="n">
        <v>0.25988819992876</v>
      </c>
      <c r="M11" s="47" t="n">
        <v>0.25351151918916</v>
      </c>
      <c r="N11" s="47" t="n">
        <v>0.04302975729935</v>
      </c>
      <c r="O11" s="47" t="n">
        <v>0.27346887442994</v>
      </c>
    </row>
    <row r="12" ht="15" customHeight="1" s="41">
      <c r="A12" s="46" t="inlineStr">
        <is>
          <t>Capacidad absorc. gastos de operación</t>
        </is>
      </c>
      <c r="B12" s="47" t="n">
        <v>0.45786118417156</v>
      </c>
      <c r="C12" s="47" t="n">
        <v>0.5912449583283</v>
      </c>
      <c r="D12" s="47" t="n">
        <v>0.5641850675711</v>
      </c>
      <c r="E12" s="47" t="n">
        <v>0.46122267588642</v>
      </c>
      <c r="F12" s="47" t="n">
        <v>0.48419856704975</v>
      </c>
      <c r="G12" s="47" t="n">
        <v>0.70655109228736</v>
      </c>
      <c r="H12" s="47" t="n">
        <v>0.75986629332393</v>
      </c>
      <c r="I12" s="47" t="n">
        <v>0.73054145480287</v>
      </c>
      <c r="J12" s="47" t="n">
        <v>0.6189217629385499</v>
      </c>
      <c r="K12" s="47" t="n">
        <v>0.54450182511598</v>
      </c>
      <c r="L12" s="47" t="n">
        <v>0.67117359896037</v>
      </c>
      <c r="M12" s="47" t="n">
        <v>0.62673387324776</v>
      </c>
      <c r="N12" s="47" t="n">
        <v>1.09727578022562</v>
      </c>
      <c r="O12" s="47" t="n">
        <v>0.59015205934146</v>
      </c>
    </row>
    <row r="13" ht="15" customHeight="1" s="41">
      <c r="A13" s="46" t="inlineStr">
        <is>
          <t>Retorno patrimonial anualizado</t>
        </is>
      </c>
      <c r="B13" s="47" t="n">
        <v>0.24294345805919</v>
      </c>
      <c r="C13" s="47" t="n">
        <v>0.13067245467527</v>
      </c>
      <c r="D13" s="47" t="n">
        <v>0.07503606076895999</v>
      </c>
      <c r="E13" s="47" t="n">
        <v>0.10370937255505</v>
      </c>
      <c r="F13" s="47" t="n">
        <v>0.25569279214665</v>
      </c>
      <c r="G13" s="47" t="n">
        <v>0.13275576066402</v>
      </c>
      <c r="H13" s="47" t="n">
        <v>0.07212766252515</v>
      </c>
      <c r="I13" s="47" t="n">
        <v>0.04136517250162</v>
      </c>
      <c r="J13" s="47" t="n">
        <v>0.02919774964433</v>
      </c>
      <c r="K13" s="47" t="n">
        <v>0.07760036266375001</v>
      </c>
      <c r="L13" s="47" t="n">
        <v>0.06823869900713</v>
      </c>
      <c r="M13" s="47" t="n">
        <v>0.09965408783489001</v>
      </c>
      <c r="N13" s="47" t="n">
        <v>0.03048946337894</v>
      </c>
      <c r="O13" s="47" t="n">
        <v>0.12471620426234</v>
      </c>
    </row>
    <row r="14" ht="15" customHeight="1" s="41">
      <c r="A14" s="46" t="inlineStr">
        <is>
          <t xml:space="preserve">Retorno patrimonial mensual </t>
        </is>
      </c>
      <c r="B14" s="47" t="n">
        <v>0.02024528817159</v>
      </c>
      <c r="C14" s="47" t="n">
        <v>0.01088937122293</v>
      </c>
      <c r="D14" s="47" t="n">
        <v>0.00625300506408</v>
      </c>
      <c r="E14" s="47" t="n">
        <v>0.00864244771292</v>
      </c>
      <c r="F14" s="47" t="n">
        <v>0.02130773267888</v>
      </c>
      <c r="G14" s="47" t="n">
        <v>0.01106298005533</v>
      </c>
      <c r="H14" s="47" t="n">
        <v>0.00601063854376</v>
      </c>
      <c r="I14" s="47" t="n">
        <v>0.00344709770846</v>
      </c>
      <c r="J14" s="47" t="n">
        <v>0.00243314580369</v>
      </c>
      <c r="K14" s="47" t="n">
        <v>0.00646669688864</v>
      </c>
      <c r="L14" s="47" t="n">
        <v>0.00568655825059</v>
      </c>
      <c r="M14" s="47" t="n">
        <v>0.00830450731957</v>
      </c>
      <c r="N14" s="47" t="n">
        <v>0.00254078861491</v>
      </c>
      <c r="O14" s="47" t="n">
        <v>0.01039301702186</v>
      </c>
    </row>
    <row r="15" ht="15" customHeight="1" s="41">
      <c r="A15" s="46" t="inlineStr">
        <is>
          <t>Componente extraordinario en utilidades 1/</t>
        </is>
      </c>
      <c r="B15" s="47" t="n">
        <v>0.24713385183409</v>
      </c>
      <c r="C15" s="47" t="n">
        <v>0.41775909090402</v>
      </c>
      <c r="D15" s="47" t="n">
        <v>0.87434637648015</v>
      </c>
      <c r="E15" s="47" t="n">
        <v>0.14830997864603</v>
      </c>
      <c r="F15" s="47" t="n">
        <v>0.20394552009101</v>
      </c>
      <c r="G15" s="47" t="n">
        <v>0.29667123958087</v>
      </c>
      <c r="H15" s="47" t="n">
        <v>0.34775098953742</v>
      </c>
      <c r="I15" s="47" t="n">
        <v>1.2861477169224</v>
      </c>
      <c r="J15" s="47" t="n">
        <v>2.50183194768198</v>
      </c>
      <c r="K15" s="47" t="n">
        <v>0</v>
      </c>
      <c r="L15" s="47" t="n">
        <v>0.1316864939009</v>
      </c>
      <c r="M15" s="47" t="n">
        <v>1.17323995965678</v>
      </c>
      <c r="N15" s="47" t="n">
        <v>1.43775692062304</v>
      </c>
      <c r="O15" s="47" t="n">
        <v>0.39579792876645</v>
      </c>
    </row>
    <row r="16" ht="15" customHeight="1" s="41">
      <c r="A16" s="46" t="inlineStr">
        <is>
          <t>Retorno sobre capital primario anualizado</t>
        </is>
      </c>
      <c r="B16" s="47" t="n">
        <v>0.34196974053372</v>
      </c>
      <c r="C16" s="47" t="n">
        <v>0.21241559862564</v>
      </c>
      <c r="D16" s="47" t="n">
        <v>0.08972468727177001</v>
      </c>
      <c r="E16" s="47" t="n">
        <v>0.14237815026561</v>
      </c>
      <c r="F16" s="47" t="n">
        <v>0.41297850327272</v>
      </c>
      <c r="G16" s="47" t="n">
        <v>0.26447008769304</v>
      </c>
      <c r="H16" s="47" t="n">
        <v>0.09091383411298</v>
      </c>
      <c r="I16" s="47" t="n">
        <v>0.07448516017683</v>
      </c>
      <c r="J16" s="47" t="n">
        <v>0.03718665066245</v>
      </c>
      <c r="K16" s="47" t="n">
        <v>0.1081676874249</v>
      </c>
      <c r="L16" s="47" t="n">
        <v>0.08006903884006999</v>
      </c>
      <c r="M16" s="47" t="n">
        <v>0.14879108257758</v>
      </c>
      <c r="N16" s="47" t="n">
        <v>0.03363203778702</v>
      </c>
      <c r="O16" s="47" t="n">
        <v>0.17722256785339</v>
      </c>
    </row>
    <row r="17" ht="15" customHeight="1" s="41">
      <c r="A17" s="46" t="inlineStr">
        <is>
          <t xml:space="preserve">Retorno sobre capital primario mensual </t>
        </is>
      </c>
      <c r="B17" s="47" t="n">
        <v>0.02849747837781</v>
      </c>
      <c r="C17" s="47" t="n">
        <v>0.01770129988547</v>
      </c>
      <c r="D17" s="47" t="n">
        <v>0.00747705727264</v>
      </c>
      <c r="E17" s="47" t="n">
        <v>0.01186484585546</v>
      </c>
      <c r="F17" s="47" t="n">
        <v>0.03441487527272</v>
      </c>
      <c r="G17" s="47" t="n">
        <v>0.02203917397442</v>
      </c>
      <c r="H17" s="47" t="n">
        <v>0.00757615284274</v>
      </c>
      <c r="I17" s="47" t="n">
        <v>0.0062070966814</v>
      </c>
      <c r="J17" s="47" t="n">
        <v>0.0030988875552</v>
      </c>
      <c r="K17" s="47" t="n">
        <v>0.009013973952070001</v>
      </c>
      <c r="L17" s="47" t="n">
        <v>0.00667241990333</v>
      </c>
      <c r="M17" s="47" t="n">
        <v>0.01239925688146</v>
      </c>
      <c r="N17" s="47" t="n">
        <v>0.00280266981558</v>
      </c>
      <c r="O17" s="47" t="n">
        <v>0.01476854732111</v>
      </c>
    </row>
    <row r="18" ht="15" customHeight="1" s="41">
      <c r="A18" s="46" t="inlineStr">
        <is>
          <t>Retorno sobre activos anualizado</t>
        </is>
      </c>
      <c r="B18" s="47" t="n">
        <v>0.02571375566644</v>
      </c>
      <c r="C18" s="47" t="n">
        <v>0.01467485666335</v>
      </c>
      <c r="D18" s="47" t="n">
        <v>0.00832016914257</v>
      </c>
      <c r="E18" s="47" t="n">
        <v>0.00958282472942</v>
      </c>
      <c r="F18" s="47" t="n">
        <v>0.05658400895017</v>
      </c>
      <c r="G18" s="47" t="n">
        <v>0.0184360036945</v>
      </c>
      <c r="H18" s="47" t="n">
        <v>0.00594153963132</v>
      </c>
      <c r="I18" s="47" t="n">
        <v>0.00393203283309</v>
      </c>
      <c r="J18" s="47" t="n">
        <v>0.00522894392536</v>
      </c>
      <c r="K18" s="47" t="n">
        <v>0.01006823905101</v>
      </c>
      <c r="L18" s="47" t="n">
        <v>0.00764775464031</v>
      </c>
      <c r="M18" s="47" t="n">
        <v>0.01455068764497</v>
      </c>
      <c r="N18" s="47" t="n">
        <v>0.00298438448112</v>
      </c>
      <c r="O18" s="47" t="n">
        <v>0.01328951132527</v>
      </c>
    </row>
    <row r="19" ht="12.75" customHeight="1" s="41">
      <c r="A19" s="46" t="inlineStr">
        <is>
          <t>Retorno sobre activos mensual</t>
        </is>
      </c>
      <c r="B19" s="47" t="n">
        <v>0.0021428129722</v>
      </c>
      <c r="C19" s="47" t="n">
        <v>0.00122290472194</v>
      </c>
      <c r="D19" s="47" t="n">
        <v>0.00069334742854</v>
      </c>
      <c r="E19" s="47" t="n">
        <v>0.00079856872745</v>
      </c>
      <c r="F19" s="47" t="n">
        <v>0.00471533407918</v>
      </c>
      <c r="G19" s="47" t="n">
        <v>0.0015363336412</v>
      </c>
      <c r="H19" s="47" t="n">
        <v>0.0004951283026100001</v>
      </c>
      <c r="I19" s="47" t="n">
        <v>0.00032766940275</v>
      </c>
      <c r="J19" s="47" t="n">
        <v>0.00043574532711</v>
      </c>
      <c r="K19" s="47" t="n">
        <v>0.00083901992091</v>
      </c>
      <c r="L19" s="47" t="n">
        <v>0.00063731288669</v>
      </c>
      <c r="M19" s="47" t="n">
        <v>0.00121255730374</v>
      </c>
      <c r="N19" s="47" t="n">
        <v>0.00024869870676</v>
      </c>
      <c r="O19" s="47" t="n">
        <v>0.0011074592771</v>
      </c>
    </row>
    <row r="20" ht="12.75" customHeight="1" s="41">
      <c r="A20" s="46" t="inlineStr">
        <is>
          <t>Margen financiero</t>
        </is>
      </c>
      <c r="B20" s="47" t="n">
        <v>0.08485970830789</v>
      </c>
      <c r="C20" s="47" t="n">
        <v>0.06754956607828</v>
      </c>
      <c r="D20" s="47" t="n">
        <v>0.06129630782714</v>
      </c>
      <c r="E20" s="47" t="n">
        <v>0.0376547443357</v>
      </c>
      <c r="F20" s="47" t="n">
        <v>0.1007133047374</v>
      </c>
      <c r="G20" s="47" t="n">
        <v>0.09984129371851</v>
      </c>
      <c r="H20" s="47" t="n">
        <v>0.06567274045325</v>
      </c>
      <c r="I20" s="47" t="n">
        <v>0.06780519668559</v>
      </c>
      <c r="J20" s="47" t="n">
        <v>0.21889296543755</v>
      </c>
      <c r="K20" s="47" t="n">
        <v>0.03497724070878</v>
      </c>
      <c r="L20" s="47" t="n">
        <v>0.05021319572229</v>
      </c>
      <c r="M20" s="47" t="n">
        <v>0.16534904359896</v>
      </c>
      <c r="N20" s="47" t="n">
        <v>0.03498668532344</v>
      </c>
      <c r="O20" s="47" t="n">
        <v>0.06750291901171999</v>
      </c>
    </row>
    <row r="21" ht="12.75" customHeight="1" s="41">
      <c r="A21" s="46" t="inlineStr">
        <is>
          <t>Suficiencia de reservas</t>
        </is>
      </c>
      <c r="B21" s="47" t="n">
        <v>0.02260483131391</v>
      </c>
      <c r="C21" s="47" t="n">
        <v>0.04246786640159</v>
      </c>
      <c r="D21" s="47" t="n">
        <v>0.02919878811732</v>
      </c>
      <c r="E21" s="47" t="n">
        <v>0.04129885938873</v>
      </c>
      <c r="F21" s="47" t="n">
        <v>0</v>
      </c>
      <c r="G21" s="47" t="n">
        <v>0.0272135110302</v>
      </c>
      <c r="H21" s="47" t="n">
        <v>0.02326472494139</v>
      </c>
      <c r="I21" s="47" t="n">
        <v>0.02033740106347</v>
      </c>
      <c r="J21" s="47" t="n">
        <v>0.06451674116833001</v>
      </c>
      <c r="K21" s="47" t="n">
        <v>0.00536462345947</v>
      </c>
      <c r="L21" s="47" t="n">
        <v>0.03682727284757</v>
      </c>
      <c r="M21" s="47" t="n">
        <v>0.01948330295231</v>
      </c>
      <c r="N21" s="47" t="n">
        <v>0.00666316680183</v>
      </c>
      <c r="O21" s="47" t="n">
        <v>0.02732379324746</v>
      </c>
    </row>
    <row r="22" ht="12.75" customHeight="1" s="41">
      <c r="A22" s="46" t="inlineStr">
        <is>
          <t>Indice de vencimiento</t>
        </is>
      </c>
      <c r="B22" s="47" t="n">
        <v>0.01034941865695</v>
      </c>
      <c r="C22" s="47" t="n">
        <v>0.02493545184981</v>
      </c>
      <c r="D22" s="47" t="n">
        <v>0.02254179020105</v>
      </c>
      <c r="E22" s="47" t="n">
        <v>0.03816920312774</v>
      </c>
      <c r="F22" s="47" t="n">
        <v>0</v>
      </c>
      <c r="G22" s="47" t="n">
        <v>0.02676401065727</v>
      </c>
      <c r="H22" s="47" t="n">
        <v>0.02000090477939</v>
      </c>
      <c r="I22" s="47" t="n">
        <v>0.01292080998797</v>
      </c>
      <c r="J22" s="47" t="n">
        <v>0.04480764339579</v>
      </c>
      <c r="K22" s="47" t="n">
        <v>0.00203349787801</v>
      </c>
      <c r="L22" s="47" t="n">
        <v>0.02890980401969</v>
      </c>
      <c r="M22" s="47" t="n">
        <v>0.01882797952354</v>
      </c>
      <c r="N22" s="47" t="n">
        <v>0.00419177319304</v>
      </c>
      <c r="O22" s="47" t="n">
        <v>0.01806522123522</v>
      </c>
    </row>
    <row r="23" ht="12.75" customHeight="1" s="41">
      <c r="A23" s="46" t="inlineStr">
        <is>
          <t>Cobertura de reservas</t>
        </is>
      </c>
      <c r="B23" s="47" t="n">
        <v>2.1841643538801</v>
      </c>
      <c r="C23" s="47" t="n">
        <v>1.7031119651403</v>
      </c>
      <c r="D23" s="47" t="n">
        <v>1.29531806732703</v>
      </c>
      <c r="E23" s="47" t="n">
        <v>1.0819942782278</v>
      </c>
      <c r="F23" s="47" t="inlineStr">
        <is>
          <t>/0</t>
        </is>
      </c>
      <c r="G23" s="47" t="n">
        <v>1.01679495568456</v>
      </c>
      <c r="H23" s="47" t="n">
        <v>1.16318362584135</v>
      </c>
      <c r="I23" s="47" t="n">
        <v>1.57400357116944</v>
      </c>
      <c r="J23" s="47" t="n">
        <v>1.43986017292728</v>
      </c>
      <c r="K23" s="47" t="n">
        <v>2.63812591962028</v>
      </c>
      <c r="L23" s="47" t="n">
        <v>1.27386795228656</v>
      </c>
      <c r="M23" s="47" t="n">
        <v>1.03480582863124</v>
      </c>
      <c r="N23" s="47" t="n">
        <v>1.58958190125545</v>
      </c>
      <c r="O23" s="47" t="n">
        <v>1.51250808897858</v>
      </c>
    </row>
    <row r="24" ht="12.75" customHeight="1" s="41">
      <c r="A24" s="46" t="inlineStr">
        <is>
          <t>Activos inmovilizados</t>
        </is>
      </c>
      <c r="B24" s="47" t="n">
        <v>-0.07726648216215</v>
      </c>
      <c r="C24" s="47" t="n">
        <v>-0.11375137186559</v>
      </c>
      <c r="D24" s="47" t="n">
        <v>-0.03885232184457</v>
      </c>
      <c r="E24" s="47" t="n">
        <v>0.01797355861801</v>
      </c>
      <c r="F24" s="47" t="n">
        <v>0</v>
      </c>
      <c r="G24" s="47" t="n">
        <v>0.00536729672949</v>
      </c>
      <c r="H24" s="47" t="n">
        <v>-0.02359047226205</v>
      </c>
      <c r="I24" s="47" t="n">
        <v>-0.05491704948703</v>
      </c>
      <c r="J24" s="47" t="n">
        <v>-0.07142249818679999</v>
      </c>
      <c r="K24" s="47" t="n">
        <v>-0.01999559810251</v>
      </c>
      <c r="L24" s="47" t="n">
        <v>-0.04654126468597</v>
      </c>
      <c r="M24" s="47" t="n">
        <v>0.00207780363792</v>
      </c>
      <c r="N24" s="47" t="n">
        <v>-0.00680769950196</v>
      </c>
      <c r="O24" s="47" t="n">
        <v>-0.05454868793435</v>
      </c>
    </row>
    <row r="25" ht="12.75" customHeight="1" s="41">
      <c r="A25" s="46" t="inlineStr">
        <is>
          <t>Colocación de recursos</t>
        </is>
      </c>
      <c r="B25" s="47" t="n">
        <v>0.95007268671962</v>
      </c>
      <c r="C25" s="47" t="n">
        <v>1.00305757258981</v>
      </c>
      <c r="D25" s="47" t="n">
        <v>1.00549598954017</v>
      </c>
      <c r="E25" s="47" t="n">
        <v>0.64637965344052</v>
      </c>
      <c r="F25" s="47" t="n">
        <v>0.26209229629633</v>
      </c>
      <c r="G25" s="47" t="n">
        <v>0.9844972987453</v>
      </c>
      <c r="H25" s="47" t="n">
        <v>1.13580757305122</v>
      </c>
      <c r="I25" s="47" t="n">
        <v>1.18244121283468</v>
      </c>
      <c r="J25" s="47" t="n">
        <v>0.90308236686556</v>
      </c>
      <c r="K25" s="47" t="n">
        <v>1.27543307377107</v>
      </c>
      <c r="L25" s="47" t="n">
        <v>0.97369808415096</v>
      </c>
      <c r="M25" s="47" t="n">
        <v>1.452505844976</v>
      </c>
      <c r="N25" s="47" t="n">
        <v>1.00527604027677</v>
      </c>
      <c r="O25" s="47" t="n">
        <v>0.99037958869691</v>
      </c>
    </row>
    <row r="26" ht="12.75" customHeight="1" s="41">
      <c r="A26" s="46" t="inlineStr">
        <is>
          <t>Variación de depósitos</t>
        </is>
      </c>
      <c r="B26" s="49" t="n">
        <v>0.140330501123918</v>
      </c>
      <c r="C26" s="49" t="n">
        <v>0.0993782304847821</v>
      </c>
      <c r="D26" s="49" t="n">
        <v>0.111429906896531</v>
      </c>
      <c r="E26" s="49" t="n">
        <v>-0.0799301271101364</v>
      </c>
      <c r="F26" s="49" t="n">
        <v>-0.291008349191684</v>
      </c>
      <c r="G26" s="49" t="n">
        <v>0.0236643933873493</v>
      </c>
      <c r="H26" s="49" t="n">
        <v>0.0560250513058027</v>
      </c>
      <c r="I26" s="49" t="n">
        <v>0.139530801035968</v>
      </c>
      <c r="J26" s="49" t="n">
        <v>0.122589943367893</v>
      </c>
      <c r="K26" s="49" t="n">
        <v>0.252897136301167</v>
      </c>
      <c r="L26" s="49" t="n">
        <v>0.0556725921361343</v>
      </c>
      <c r="M26" s="49" t="n">
        <v>0</v>
      </c>
      <c r="N26" s="49" t="n">
        <v>0.133191465016496</v>
      </c>
      <c r="O26" s="49" t="n">
        <v>0.104053721012659</v>
      </c>
    </row>
    <row r="27" ht="12.75" customHeight="1" s="41">
      <c r="A27" s="46" t="inlineStr">
        <is>
          <t>Variación en préstamos</t>
        </is>
      </c>
      <c r="B27" s="49" t="n">
        <v>0.0120469121653259</v>
      </c>
      <c r="C27" s="49" t="n">
        <v>0.0744777526173146</v>
      </c>
      <c r="D27" s="49" t="n">
        <v>0.041797511758064</v>
      </c>
      <c r="E27" s="49" t="n">
        <v>0.0247694937464567</v>
      </c>
      <c r="F27" s="49" t="n">
        <v>0.0690014156352583</v>
      </c>
      <c r="G27" s="49" t="n">
        <v>0.0506171803439937</v>
      </c>
      <c r="H27" s="49" t="n">
        <v>0.0387872686008539</v>
      </c>
      <c r="I27" s="49" t="n">
        <v>0.117573107678654</v>
      </c>
      <c r="J27" s="49" t="n">
        <v>-0.07322859283133611</v>
      </c>
      <c r="K27" s="49" t="n">
        <v>0.20264449551584</v>
      </c>
      <c r="L27" s="49" t="n">
        <v>0.0299552798755569</v>
      </c>
      <c r="M27" s="49" t="n">
        <v>0</v>
      </c>
      <c r="N27" s="49" t="n">
        <v>0.098857254903659</v>
      </c>
      <c r="O27" s="49" t="n">
        <v>0.069502887377398</v>
      </c>
    </row>
    <row r="28" ht="12.75" customHeight="1" s="41">
      <c r="A28" s="50" t="inlineStr">
        <is>
          <t>Variación en cartera vencida</t>
        </is>
      </c>
      <c r="B28" s="51" t="n">
        <v>-0.00440967234685252</v>
      </c>
      <c r="C28" s="51" t="n">
        <v>-0.0384167696327951</v>
      </c>
      <c r="D28" s="51" t="n">
        <v>0.0715346971880839</v>
      </c>
      <c r="E28" s="51" t="n">
        <v>0.642215835938434</v>
      </c>
      <c r="F28" s="51" t="n">
        <v>0</v>
      </c>
      <c r="G28" s="51" t="n">
        <v>0.0520468064691082</v>
      </c>
      <c r="H28" s="51" t="n">
        <v>-0.0147878697995814</v>
      </c>
      <c r="I28" s="51" t="n">
        <v>-0.10582091181855</v>
      </c>
      <c r="J28" s="51" t="n">
        <v>-0.417669985265711</v>
      </c>
      <c r="K28" s="51" t="n">
        <v>-0.045052707077694</v>
      </c>
      <c r="L28" s="51" t="n">
        <v>0.124483103514671</v>
      </c>
      <c r="M28" s="51" t="n">
        <v>0</v>
      </c>
      <c r="N28" s="51" t="n">
        <v>0.144637686247956</v>
      </c>
      <c r="O28" s="51" t="n">
        <v>0.0486706766635185</v>
      </c>
    </row>
    <row r="29" ht="12.75" customHeight="1" s="41"/>
    <row r="30" ht="12.75" customHeight="1" s="41"/>
    <row r="31" ht="12.75" customHeight="1" s="41"/>
    <row r="32" ht="12.75" customHeight="1" s="41"/>
    <row r="33" ht="12.75" customHeight="1" s="41"/>
    <row r="34" ht="12.75" customHeight="1" s="41"/>
    <row r="35" ht="12.75" customFormat="1" customHeight="1" s="52"/>
    <row r="37" ht="12.75" customHeight="1" s="41"/>
  </sheetData>
  <conditionalFormatting sqref="B8:I8 K8:O8">
    <cfRule type="cellIs" rank="0" priority="2" equalAverage="0" operator="lessThan" aboveAverage="0" dxfId="0" text="" percent="0" bottom="0">
      <formula>0.07</formula>
    </cfRule>
  </conditionalFormatting>
  <conditionalFormatting sqref="B7:O7">
    <cfRule type="cellIs" rank="0" priority="3" equalAverage="0" operator="lessThan" aboveAverage="0" dxfId="0" text="" percent="0" bottom="0">
      <formula>0.12</formula>
    </cfRule>
  </conditionalFormatting>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C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13" activeCellId="0" sqref="C13"/>
    </sheetView>
  </sheetViews>
  <sheetFormatPr baseColWidth="8" defaultColWidth="10.5546875" defaultRowHeight="12.75" customHeight="1" zeroHeight="0" outlineLevelRow="0"/>
  <sheetData>
    <row r="1" ht="12.75" customHeight="1" s="41">
      <c r="C1" s="40" t="n">
        <v>25.55</v>
      </c>
    </row>
    <row r="2" ht="12.75" customHeight="1" s="41">
      <c r="B2" s="53" t="n">
        <v>45323</v>
      </c>
      <c r="C2" s="40" t="n">
        <v>74.09999999999999</v>
      </c>
    </row>
    <row r="3" ht="12.75" customHeight="1" s="41">
      <c r="B3" s="53" t="n">
        <v>45352</v>
      </c>
      <c r="C3" s="40" t="n">
        <v>114.42</v>
      </c>
    </row>
    <row r="4" ht="12.75" customHeight="1" s="41">
      <c r="B4" s="53" t="n">
        <v>45383</v>
      </c>
      <c r="C4" s="40" t="n">
        <v>127.03</v>
      </c>
    </row>
    <row r="5" ht="12.75" customHeight="1" s="41">
      <c r="B5" s="53" t="n">
        <v>45413</v>
      </c>
      <c r="C5" s="40" t="n">
        <v>95.36</v>
      </c>
    </row>
    <row r="6" ht="12.75" customHeight="1" s="41">
      <c r="B6" s="53" t="n">
        <v>45444</v>
      </c>
      <c r="C6" s="40" t="n">
        <v>62.39</v>
      </c>
    </row>
    <row r="7" ht="12.75" customHeight="1" s="41">
      <c r="B7" s="53" t="n">
        <v>45474</v>
      </c>
      <c r="C7" s="40" t="n">
        <v>53.73</v>
      </c>
    </row>
    <row r="8" ht="12.75" customHeight="1" s="41">
      <c r="B8" s="53" t="n">
        <v>45505</v>
      </c>
      <c r="C8" s="40" t="n">
        <v>51.99</v>
      </c>
    </row>
    <row r="9" ht="12.75" customHeight="1" s="41">
      <c r="B9" s="53" t="n">
        <v>45536</v>
      </c>
      <c r="C9" s="40" t="n">
        <v>42.54</v>
      </c>
    </row>
    <row r="10" ht="12.75" customHeight="1" s="41">
      <c r="B10" s="53" t="n">
        <v>45566</v>
      </c>
      <c r="C10" s="40" t="n">
        <v>64.62</v>
      </c>
    </row>
    <row r="11" ht="12.75" customHeight="1" s="41">
      <c r="B11" s="53" t="n">
        <v>45597</v>
      </c>
      <c r="C11" s="40">
        <f>SUM(C1:C10)</f>
        <v/>
      </c>
    </row>
    <row r="12" ht="12.75" customHeight="1" s="41">
      <c r="B12" s="53" t="n">
        <v>45627</v>
      </c>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30"/>
  <sheetViews>
    <sheetView showFormulas="0" showGridLines="1" showRowColHeaders="1" showZeros="1" rightToLeft="0" tabSelected="0" showOutlineSymbols="1" defaultGridColor="1" view="normal" topLeftCell="A28" colorId="64" zoomScale="100" zoomScaleNormal="100" zoomScalePageLayoutView="100" workbookViewId="0">
      <selection pane="topLeft" activeCell="E34" activeCellId="0" sqref="E34"/>
    </sheetView>
  </sheetViews>
  <sheetFormatPr baseColWidth="8" defaultColWidth="11.5546875" defaultRowHeight="56.25" customHeight="1" zeroHeight="0" outlineLevelRow="0"/>
  <cols>
    <col width="2.89" customWidth="1" style="54" min="1" max="1"/>
    <col width="4.33" customWidth="1" style="54" min="2" max="2"/>
    <col width="38.44" customWidth="1" style="54" min="3" max="3"/>
    <col width="81.55" customWidth="1" style="54" min="4" max="4"/>
    <col width="56.11" customWidth="1" style="55" min="5" max="5"/>
    <col width="11.55" customWidth="1" style="54" min="6" max="256"/>
    <col width="2.89" customWidth="1" style="54" min="257" max="257"/>
    <col width="4.33" customWidth="1" style="54" min="258" max="258"/>
    <col width="38.44" customWidth="1" style="54" min="259" max="259"/>
    <col width="81.55" customWidth="1" style="54" min="260" max="260"/>
    <col width="56.11" customWidth="1" style="54" min="261" max="261"/>
    <col width="11.55" customWidth="1" style="54" min="262" max="512"/>
    <col width="2.89" customWidth="1" style="54" min="513" max="513"/>
    <col width="4.33" customWidth="1" style="54" min="514" max="514"/>
    <col width="38.44" customWidth="1" style="54" min="515" max="515"/>
    <col width="81.55" customWidth="1" style="54" min="516" max="516"/>
    <col width="56.11" customWidth="1" style="54" min="517" max="517"/>
    <col width="11.55" customWidth="1" style="54" min="518" max="768"/>
    <col width="2.89" customWidth="1" style="54" min="769" max="769"/>
    <col width="4.33" customWidth="1" style="54" min="770" max="770"/>
    <col width="38.44" customWidth="1" style="54" min="771" max="771"/>
    <col width="81.55" customWidth="1" style="54" min="772" max="772"/>
    <col width="56.11" customWidth="1" style="54" min="773" max="773"/>
    <col width="11.55" customWidth="1" style="54" min="774" max="1024"/>
    <col width="2.89" customWidth="1" style="54" min="1025" max="1025"/>
    <col width="4.33" customWidth="1" style="54" min="1026" max="1026"/>
    <col width="38.44" customWidth="1" style="54" min="1027" max="1027"/>
    <col width="81.55" customWidth="1" style="54" min="1028" max="1028"/>
    <col width="56.11" customWidth="1" style="54" min="1029" max="1029"/>
    <col width="11.55" customWidth="1" style="54" min="1030" max="1280"/>
    <col width="2.89" customWidth="1" style="54" min="1281" max="1281"/>
    <col width="4.33" customWidth="1" style="54" min="1282" max="1282"/>
    <col width="38.44" customWidth="1" style="54" min="1283" max="1283"/>
    <col width="81.55" customWidth="1" style="54" min="1284" max="1284"/>
    <col width="56.11" customWidth="1" style="54" min="1285" max="1285"/>
    <col width="11.55" customWidth="1" style="54" min="1286" max="1536"/>
    <col width="2.89" customWidth="1" style="54" min="1537" max="1537"/>
    <col width="4.33" customWidth="1" style="54" min="1538" max="1538"/>
    <col width="38.44" customWidth="1" style="54" min="1539" max="1539"/>
    <col width="81.55" customWidth="1" style="54" min="1540" max="1540"/>
    <col width="56.11" customWidth="1" style="54" min="1541" max="1541"/>
    <col width="11.55" customWidth="1" style="54" min="1542" max="1792"/>
    <col width="2.89" customWidth="1" style="54" min="1793" max="1793"/>
    <col width="4.33" customWidth="1" style="54" min="1794" max="1794"/>
    <col width="38.44" customWidth="1" style="54" min="1795" max="1795"/>
    <col width="81.55" customWidth="1" style="54" min="1796" max="1796"/>
    <col width="56.11" customWidth="1" style="54" min="1797" max="1797"/>
    <col width="11.55" customWidth="1" style="54" min="1798" max="2048"/>
    <col width="2.89" customWidth="1" style="54" min="2049" max="2049"/>
    <col width="4.33" customWidth="1" style="54" min="2050" max="2050"/>
    <col width="38.44" customWidth="1" style="54" min="2051" max="2051"/>
    <col width="81.55" customWidth="1" style="54" min="2052" max="2052"/>
    <col width="56.11" customWidth="1" style="54" min="2053" max="2053"/>
    <col width="11.55" customWidth="1" style="54" min="2054" max="2304"/>
    <col width="2.89" customWidth="1" style="54" min="2305" max="2305"/>
    <col width="4.33" customWidth="1" style="54" min="2306" max="2306"/>
    <col width="38.44" customWidth="1" style="54" min="2307" max="2307"/>
    <col width="81.55" customWidth="1" style="54" min="2308" max="2308"/>
    <col width="56.11" customWidth="1" style="54" min="2309" max="2309"/>
    <col width="11.55" customWidth="1" style="54" min="2310" max="2560"/>
    <col width="2.89" customWidth="1" style="54" min="2561" max="2561"/>
    <col width="4.33" customWidth="1" style="54" min="2562" max="2562"/>
    <col width="38.44" customWidth="1" style="54" min="2563" max="2563"/>
    <col width="81.55" customWidth="1" style="54" min="2564" max="2564"/>
    <col width="56.11" customWidth="1" style="54" min="2565" max="2565"/>
    <col width="11.55" customWidth="1" style="54" min="2566" max="2816"/>
    <col width="2.89" customWidth="1" style="54" min="2817" max="2817"/>
    <col width="4.33" customWidth="1" style="54" min="2818" max="2818"/>
    <col width="38.44" customWidth="1" style="54" min="2819" max="2819"/>
    <col width="81.55" customWidth="1" style="54" min="2820" max="2820"/>
    <col width="56.11" customWidth="1" style="54" min="2821" max="2821"/>
    <col width="11.55" customWidth="1" style="54" min="2822" max="3072"/>
    <col width="2.89" customWidth="1" style="54" min="3073" max="3073"/>
    <col width="4.33" customWidth="1" style="54" min="3074" max="3074"/>
    <col width="38.44" customWidth="1" style="54" min="3075" max="3075"/>
    <col width="81.55" customWidth="1" style="54" min="3076" max="3076"/>
    <col width="56.11" customWidth="1" style="54" min="3077" max="3077"/>
    <col width="11.55" customWidth="1" style="54" min="3078" max="3328"/>
    <col width="2.89" customWidth="1" style="54" min="3329" max="3329"/>
    <col width="4.33" customWidth="1" style="54" min="3330" max="3330"/>
    <col width="38.44" customWidth="1" style="54" min="3331" max="3331"/>
    <col width="81.55" customWidth="1" style="54" min="3332" max="3332"/>
    <col width="56.11" customWidth="1" style="54" min="3333" max="3333"/>
    <col width="11.55" customWidth="1" style="54" min="3334" max="3584"/>
    <col width="2.89" customWidth="1" style="54" min="3585" max="3585"/>
    <col width="4.33" customWidth="1" style="54" min="3586" max="3586"/>
    <col width="38.44" customWidth="1" style="54" min="3587" max="3587"/>
    <col width="81.55" customWidth="1" style="54" min="3588" max="3588"/>
    <col width="56.11" customWidth="1" style="54" min="3589" max="3589"/>
    <col width="11.55" customWidth="1" style="54" min="3590" max="3840"/>
    <col width="2.89" customWidth="1" style="54" min="3841" max="3841"/>
    <col width="4.33" customWidth="1" style="54" min="3842" max="3842"/>
    <col width="38.44" customWidth="1" style="54" min="3843" max="3843"/>
    <col width="81.55" customWidth="1" style="54" min="3844" max="3844"/>
    <col width="56.11" customWidth="1" style="54" min="3845" max="3845"/>
    <col width="11.55" customWidth="1" style="54" min="3846" max="4096"/>
    <col width="2.89" customWidth="1" style="54" min="4097" max="4097"/>
    <col width="4.33" customWidth="1" style="54" min="4098" max="4098"/>
    <col width="38.44" customWidth="1" style="54" min="4099" max="4099"/>
    <col width="81.55" customWidth="1" style="54" min="4100" max="4100"/>
    <col width="56.11" customWidth="1" style="54" min="4101" max="4101"/>
    <col width="11.55" customWidth="1" style="54" min="4102" max="4352"/>
    <col width="2.89" customWidth="1" style="54" min="4353" max="4353"/>
    <col width="4.33" customWidth="1" style="54" min="4354" max="4354"/>
    <col width="38.44" customWidth="1" style="54" min="4355" max="4355"/>
    <col width="81.55" customWidth="1" style="54" min="4356" max="4356"/>
    <col width="56.11" customWidth="1" style="54" min="4357" max="4357"/>
    <col width="11.55" customWidth="1" style="54" min="4358" max="4608"/>
    <col width="2.89" customWidth="1" style="54" min="4609" max="4609"/>
    <col width="4.33" customWidth="1" style="54" min="4610" max="4610"/>
    <col width="38.44" customWidth="1" style="54" min="4611" max="4611"/>
    <col width="81.55" customWidth="1" style="54" min="4612" max="4612"/>
    <col width="56.11" customWidth="1" style="54" min="4613" max="4613"/>
    <col width="11.55" customWidth="1" style="54" min="4614" max="4864"/>
    <col width="2.89" customWidth="1" style="54" min="4865" max="4865"/>
    <col width="4.33" customWidth="1" style="54" min="4866" max="4866"/>
    <col width="38.44" customWidth="1" style="54" min="4867" max="4867"/>
    <col width="81.55" customWidth="1" style="54" min="4868" max="4868"/>
    <col width="56.11" customWidth="1" style="54" min="4869" max="4869"/>
    <col width="11.55" customWidth="1" style="54" min="4870" max="5120"/>
    <col width="2.89" customWidth="1" style="54" min="5121" max="5121"/>
    <col width="4.33" customWidth="1" style="54" min="5122" max="5122"/>
    <col width="38.44" customWidth="1" style="54" min="5123" max="5123"/>
    <col width="81.55" customWidth="1" style="54" min="5124" max="5124"/>
    <col width="56.11" customWidth="1" style="54" min="5125" max="5125"/>
    <col width="11.55" customWidth="1" style="54" min="5126" max="5376"/>
    <col width="2.89" customWidth="1" style="54" min="5377" max="5377"/>
    <col width="4.33" customWidth="1" style="54" min="5378" max="5378"/>
    <col width="38.44" customWidth="1" style="54" min="5379" max="5379"/>
    <col width="81.55" customWidth="1" style="54" min="5380" max="5380"/>
    <col width="56.11" customWidth="1" style="54" min="5381" max="5381"/>
    <col width="11.55" customWidth="1" style="54" min="5382" max="5632"/>
    <col width="2.89" customWidth="1" style="54" min="5633" max="5633"/>
    <col width="4.33" customWidth="1" style="54" min="5634" max="5634"/>
    <col width="38.44" customWidth="1" style="54" min="5635" max="5635"/>
    <col width="81.55" customWidth="1" style="54" min="5636" max="5636"/>
    <col width="56.11" customWidth="1" style="54" min="5637" max="5637"/>
    <col width="11.55" customWidth="1" style="54" min="5638" max="5888"/>
    <col width="2.89" customWidth="1" style="54" min="5889" max="5889"/>
    <col width="4.33" customWidth="1" style="54" min="5890" max="5890"/>
    <col width="38.44" customWidth="1" style="54" min="5891" max="5891"/>
    <col width="81.55" customWidth="1" style="54" min="5892" max="5892"/>
    <col width="56.11" customWidth="1" style="54" min="5893" max="5893"/>
    <col width="11.55" customWidth="1" style="54" min="5894" max="6144"/>
    <col width="2.89" customWidth="1" style="54" min="6145" max="6145"/>
    <col width="4.33" customWidth="1" style="54" min="6146" max="6146"/>
    <col width="38.44" customWidth="1" style="54" min="6147" max="6147"/>
    <col width="81.55" customWidth="1" style="54" min="6148" max="6148"/>
    <col width="56.11" customWidth="1" style="54" min="6149" max="6149"/>
    <col width="11.55" customWidth="1" style="54" min="6150" max="6400"/>
    <col width="2.89" customWidth="1" style="54" min="6401" max="6401"/>
    <col width="4.33" customWidth="1" style="54" min="6402" max="6402"/>
    <col width="38.44" customWidth="1" style="54" min="6403" max="6403"/>
    <col width="81.55" customWidth="1" style="54" min="6404" max="6404"/>
    <col width="56.11" customWidth="1" style="54" min="6405" max="6405"/>
    <col width="11.55" customWidth="1" style="54" min="6406" max="6656"/>
    <col width="2.89" customWidth="1" style="54" min="6657" max="6657"/>
    <col width="4.33" customWidth="1" style="54" min="6658" max="6658"/>
    <col width="38.44" customWidth="1" style="54" min="6659" max="6659"/>
    <col width="81.55" customWidth="1" style="54" min="6660" max="6660"/>
    <col width="56.11" customWidth="1" style="54" min="6661" max="6661"/>
    <col width="11.55" customWidth="1" style="54" min="6662" max="6912"/>
    <col width="2.89" customWidth="1" style="54" min="6913" max="6913"/>
    <col width="4.33" customWidth="1" style="54" min="6914" max="6914"/>
    <col width="38.44" customWidth="1" style="54" min="6915" max="6915"/>
    <col width="81.55" customWidth="1" style="54" min="6916" max="6916"/>
    <col width="56.11" customWidth="1" style="54" min="6917" max="6917"/>
    <col width="11.55" customWidth="1" style="54" min="6918" max="7168"/>
    <col width="2.89" customWidth="1" style="54" min="7169" max="7169"/>
    <col width="4.33" customWidth="1" style="54" min="7170" max="7170"/>
    <col width="38.44" customWidth="1" style="54" min="7171" max="7171"/>
    <col width="81.55" customWidth="1" style="54" min="7172" max="7172"/>
    <col width="56.11" customWidth="1" style="54" min="7173" max="7173"/>
    <col width="11.55" customWidth="1" style="54" min="7174" max="7424"/>
    <col width="2.89" customWidth="1" style="54" min="7425" max="7425"/>
    <col width="4.33" customWidth="1" style="54" min="7426" max="7426"/>
    <col width="38.44" customWidth="1" style="54" min="7427" max="7427"/>
    <col width="81.55" customWidth="1" style="54" min="7428" max="7428"/>
    <col width="56.11" customWidth="1" style="54" min="7429" max="7429"/>
    <col width="11.55" customWidth="1" style="54" min="7430" max="7680"/>
    <col width="2.89" customWidth="1" style="54" min="7681" max="7681"/>
    <col width="4.33" customWidth="1" style="54" min="7682" max="7682"/>
    <col width="38.44" customWidth="1" style="54" min="7683" max="7683"/>
    <col width="81.55" customWidth="1" style="54" min="7684" max="7684"/>
    <col width="56.11" customWidth="1" style="54" min="7685" max="7685"/>
    <col width="11.55" customWidth="1" style="54" min="7686" max="7936"/>
    <col width="2.89" customWidth="1" style="54" min="7937" max="7937"/>
    <col width="4.33" customWidth="1" style="54" min="7938" max="7938"/>
    <col width="38.44" customWidth="1" style="54" min="7939" max="7939"/>
    <col width="81.55" customWidth="1" style="54" min="7940" max="7940"/>
    <col width="56.11" customWidth="1" style="54" min="7941" max="7941"/>
    <col width="11.55" customWidth="1" style="54" min="7942" max="8192"/>
    <col width="2.89" customWidth="1" style="54" min="8193" max="8193"/>
    <col width="4.33" customWidth="1" style="54" min="8194" max="8194"/>
    <col width="38.44" customWidth="1" style="54" min="8195" max="8195"/>
    <col width="81.55" customWidth="1" style="54" min="8196" max="8196"/>
    <col width="56.11" customWidth="1" style="54" min="8197" max="8197"/>
    <col width="11.55" customWidth="1" style="54" min="8198" max="8448"/>
    <col width="2.89" customWidth="1" style="54" min="8449" max="8449"/>
    <col width="4.33" customWidth="1" style="54" min="8450" max="8450"/>
    <col width="38.44" customWidth="1" style="54" min="8451" max="8451"/>
    <col width="81.55" customWidth="1" style="54" min="8452" max="8452"/>
    <col width="56.11" customWidth="1" style="54" min="8453" max="8453"/>
    <col width="11.55" customWidth="1" style="54" min="8454" max="8704"/>
    <col width="2.89" customWidth="1" style="54" min="8705" max="8705"/>
    <col width="4.33" customWidth="1" style="54" min="8706" max="8706"/>
    <col width="38.44" customWidth="1" style="54" min="8707" max="8707"/>
    <col width="81.55" customWidth="1" style="54" min="8708" max="8708"/>
    <col width="56.11" customWidth="1" style="54" min="8709" max="8709"/>
    <col width="11.55" customWidth="1" style="54" min="8710" max="8960"/>
    <col width="2.89" customWidth="1" style="54" min="8961" max="8961"/>
    <col width="4.33" customWidth="1" style="54" min="8962" max="8962"/>
    <col width="38.44" customWidth="1" style="54" min="8963" max="8963"/>
    <col width="81.55" customWidth="1" style="54" min="8964" max="8964"/>
    <col width="56.11" customWidth="1" style="54" min="8965" max="8965"/>
    <col width="11.55" customWidth="1" style="54" min="8966" max="9216"/>
    <col width="2.89" customWidth="1" style="54" min="9217" max="9217"/>
    <col width="4.33" customWidth="1" style="54" min="9218" max="9218"/>
    <col width="38.44" customWidth="1" style="54" min="9219" max="9219"/>
    <col width="81.55" customWidth="1" style="54" min="9220" max="9220"/>
    <col width="56.11" customWidth="1" style="54" min="9221" max="9221"/>
    <col width="11.55" customWidth="1" style="54" min="9222" max="9472"/>
    <col width="2.89" customWidth="1" style="54" min="9473" max="9473"/>
    <col width="4.33" customWidth="1" style="54" min="9474" max="9474"/>
    <col width="38.44" customWidth="1" style="54" min="9475" max="9475"/>
    <col width="81.55" customWidth="1" style="54" min="9476" max="9476"/>
    <col width="56.11" customWidth="1" style="54" min="9477" max="9477"/>
    <col width="11.55" customWidth="1" style="54" min="9478" max="9728"/>
    <col width="2.89" customWidth="1" style="54" min="9729" max="9729"/>
    <col width="4.33" customWidth="1" style="54" min="9730" max="9730"/>
    <col width="38.44" customWidth="1" style="54" min="9731" max="9731"/>
    <col width="81.55" customWidth="1" style="54" min="9732" max="9732"/>
    <col width="56.11" customWidth="1" style="54" min="9733" max="9733"/>
    <col width="11.55" customWidth="1" style="54" min="9734" max="9984"/>
    <col width="2.89" customWidth="1" style="54" min="9985" max="9985"/>
    <col width="4.33" customWidth="1" style="54" min="9986" max="9986"/>
    <col width="38.44" customWidth="1" style="54" min="9987" max="9987"/>
    <col width="81.55" customWidth="1" style="54" min="9988" max="9988"/>
    <col width="56.11" customWidth="1" style="54" min="9989" max="9989"/>
    <col width="11.55" customWidth="1" style="54" min="9990" max="10240"/>
    <col width="2.89" customWidth="1" style="54" min="10241" max="10241"/>
    <col width="4.33" customWidth="1" style="54" min="10242" max="10242"/>
    <col width="38.44" customWidth="1" style="54" min="10243" max="10243"/>
    <col width="81.55" customWidth="1" style="54" min="10244" max="10244"/>
    <col width="56.11" customWidth="1" style="54" min="10245" max="10245"/>
    <col width="11.55" customWidth="1" style="54" min="10246" max="10496"/>
    <col width="2.89" customWidth="1" style="54" min="10497" max="10497"/>
    <col width="4.33" customWidth="1" style="54" min="10498" max="10498"/>
    <col width="38.44" customWidth="1" style="54" min="10499" max="10499"/>
    <col width="81.55" customWidth="1" style="54" min="10500" max="10500"/>
    <col width="56.11" customWidth="1" style="54" min="10501" max="10501"/>
    <col width="11.55" customWidth="1" style="54" min="10502" max="10752"/>
    <col width="2.89" customWidth="1" style="54" min="10753" max="10753"/>
    <col width="4.33" customWidth="1" style="54" min="10754" max="10754"/>
    <col width="38.44" customWidth="1" style="54" min="10755" max="10755"/>
    <col width="81.55" customWidth="1" style="54" min="10756" max="10756"/>
    <col width="56.11" customWidth="1" style="54" min="10757" max="10757"/>
    <col width="11.55" customWidth="1" style="54" min="10758" max="11008"/>
    <col width="2.89" customWidth="1" style="54" min="11009" max="11009"/>
    <col width="4.33" customWidth="1" style="54" min="11010" max="11010"/>
    <col width="38.44" customWidth="1" style="54" min="11011" max="11011"/>
    <col width="81.55" customWidth="1" style="54" min="11012" max="11012"/>
    <col width="56.11" customWidth="1" style="54" min="11013" max="11013"/>
    <col width="11.55" customWidth="1" style="54" min="11014" max="11264"/>
    <col width="2.89" customWidth="1" style="54" min="11265" max="11265"/>
    <col width="4.33" customWidth="1" style="54" min="11266" max="11266"/>
    <col width="38.44" customWidth="1" style="54" min="11267" max="11267"/>
    <col width="81.55" customWidth="1" style="54" min="11268" max="11268"/>
    <col width="56.11" customWidth="1" style="54" min="11269" max="11269"/>
    <col width="11.55" customWidth="1" style="54" min="11270" max="11520"/>
    <col width="2.89" customWidth="1" style="54" min="11521" max="11521"/>
    <col width="4.33" customWidth="1" style="54" min="11522" max="11522"/>
    <col width="38.44" customWidth="1" style="54" min="11523" max="11523"/>
    <col width="81.55" customWidth="1" style="54" min="11524" max="11524"/>
    <col width="56.11" customWidth="1" style="54" min="11525" max="11525"/>
    <col width="11.55" customWidth="1" style="54" min="11526" max="11776"/>
    <col width="2.89" customWidth="1" style="54" min="11777" max="11777"/>
    <col width="4.33" customWidth="1" style="54" min="11778" max="11778"/>
    <col width="38.44" customWidth="1" style="54" min="11779" max="11779"/>
    <col width="81.55" customWidth="1" style="54" min="11780" max="11780"/>
    <col width="56.11" customWidth="1" style="54" min="11781" max="11781"/>
    <col width="11.55" customWidth="1" style="54" min="11782" max="12032"/>
    <col width="2.89" customWidth="1" style="54" min="12033" max="12033"/>
    <col width="4.33" customWidth="1" style="54" min="12034" max="12034"/>
    <col width="38.44" customWidth="1" style="54" min="12035" max="12035"/>
    <col width="81.55" customWidth="1" style="54" min="12036" max="12036"/>
    <col width="56.11" customWidth="1" style="54" min="12037" max="12037"/>
    <col width="11.55" customWidth="1" style="54" min="12038" max="12288"/>
    <col width="2.89" customWidth="1" style="54" min="12289" max="12289"/>
    <col width="4.33" customWidth="1" style="54" min="12290" max="12290"/>
    <col width="38.44" customWidth="1" style="54" min="12291" max="12291"/>
    <col width="81.55" customWidth="1" style="54" min="12292" max="12292"/>
    <col width="56.11" customWidth="1" style="54" min="12293" max="12293"/>
    <col width="11.55" customWidth="1" style="54" min="12294" max="12544"/>
    <col width="2.89" customWidth="1" style="54" min="12545" max="12545"/>
    <col width="4.33" customWidth="1" style="54" min="12546" max="12546"/>
    <col width="38.44" customWidth="1" style="54" min="12547" max="12547"/>
    <col width="81.55" customWidth="1" style="54" min="12548" max="12548"/>
    <col width="56.11" customWidth="1" style="54" min="12549" max="12549"/>
    <col width="11.55" customWidth="1" style="54" min="12550" max="12800"/>
    <col width="2.89" customWidth="1" style="54" min="12801" max="12801"/>
    <col width="4.33" customWidth="1" style="54" min="12802" max="12802"/>
    <col width="38.44" customWidth="1" style="54" min="12803" max="12803"/>
    <col width="81.55" customWidth="1" style="54" min="12804" max="12804"/>
    <col width="56.11" customWidth="1" style="54" min="12805" max="12805"/>
    <col width="11.55" customWidth="1" style="54" min="12806" max="13056"/>
    <col width="2.89" customWidth="1" style="54" min="13057" max="13057"/>
    <col width="4.33" customWidth="1" style="54" min="13058" max="13058"/>
    <col width="38.44" customWidth="1" style="54" min="13059" max="13059"/>
    <col width="81.55" customWidth="1" style="54" min="13060" max="13060"/>
    <col width="56.11" customWidth="1" style="54" min="13061" max="13061"/>
    <col width="11.55" customWidth="1" style="54" min="13062" max="13312"/>
    <col width="2.89" customWidth="1" style="54" min="13313" max="13313"/>
    <col width="4.33" customWidth="1" style="54" min="13314" max="13314"/>
    <col width="38.44" customWidth="1" style="54" min="13315" max="13315"/>
    <col width="81.55" customWidth="1" style="54" min="13316" max="13316"/>
    <col width="56.11" customWidth="1" style="54" min="13317" max="13317"/>
    <col width="11.55" customWidth="1" style="54" min="13318" max="13568"/>
    <col width="2.89" customWidth="1" style="54" min="13569" max="13569"/>
    <col width="4.33" customWidth="1" style="54" min="13570" max="13570"/>
    <col width="38.44" customWidth="1" style="54" min="13571" max="13571"/>
    <col width="81.55" customWidth="1" style="54" min="13572" max="13572"/>
    <col width="56.11" customWidth="1" style="54" min="13573" max="13573"/>
    <col width="11.55" customWidth="1" style="54" min="13574" max="13824"/>
    <col width="2.89" customWidth="1" style="54" min="13825" max="13825"/>
    <col width="4.33" customWidth="1" style="54" min="13826" max="13826"/>
    <col width="38.44" customWidth="1" style="54" min="13827" max="13827"/>
    <col width="81.55" customWidth="1" style="54" min="13828" max="13828"/>
    <col width="56.11" customWidth="1" style="54" min="13829" max="13829"/>
    <col width="11.55" customWidth="1" style="54" min="13830" max="14080"/>
    <col width="2.89" customWidth="1" style="54" min="14081" max="14081"/>
    <col width="4.33" customWidth="1" style="54" min="14082" max="14082"/>
    <col width="38.44" customWidth="1" style="54" min="14083" max="14083"/>
    <col width="81.55" customWidth="1" style="54" min="14084" max="14084"/>
    <col width="56.11" customWidth="1" style="54" min="14085" max="14085"/>
    <col width="11.55" customWidth="1" style="54" min="14086" max="14336"/>
    <col width="2.89" customWidth="1" style="54" min="14337" max="14337"/>
    <col width="4.33" customWidth="1" style="54" min="14338" max="14338"/>
    <col width="38.44" customWidth="1" style="54" min="14339" max="14339"/>
    <col width="81.55" customWidth="1" style="54" min="14340" max="14340"/>
    <col width="56.11" customWidth="1" style="54" min="14341" max="14341"/>
    <col width="11.55" customWidth="1" style="54" min="14342" max="14592"/>
    <col width="2.89" customWidth="1" style="54" min="14593" max="14593"/>
    <col width="4.33" customWidth="1" style="54" min="14594" max="14594"/>
    <col width="38.44" customWidth="1" style="54" min="14595" max="14595"/>
    <col width="81.55" customWidth="1" style="54" min="14596" max="14596"/>
    <col width="56.11" customWidth="1" style="54" min="14597" max="14597"/>
    <col width="11.55" customWidth="1" style="54" min="14598" max="14848"/>
    <col width="2.89" customWidth="1" style="54" min="14849" max="14849"/>
    <col width="4.33" customWidth="1" style="54" min="14850" max="14850"/>
    <col width="38.44" customWidth="1" style="54" min="14851" max="14851"/>
    <col width="81.55" customWidth="1" style="54" min="14852" max="14852"/>
    <col width="56.11" customWidth="1" style="54" min="14853" max="14853"/>
    <col width="11.55" customWidth="1" style="54" min="14854" max="15104"/>
    <col width="2.89" customWidth="1" style="54" min="15105" max="15105"/>
    <col width="4.33" customWidth="1" style="54" min="15106" max="15106"/>
    <col width="38.44" customWidth="1" style="54" min="15107" max="15107"/>
    <col width="81.55" customWidth="1" style="54" min="15108" max="15108"/>
    <col width="56.11" customWidth="1" style="54" min="15109" max="15109"/>
    <col width="11.55" customWidth="1" style="54" min="15110" max="15360"/>
    <col width="2.89" customWidth="1" style="54" min="15361" max="15361"/>
    <col width="4.33" customWidth="1" style="54" min="15362" max="15362"/>
    <col width="38.44" customWidth="1" style="54" min="15363" max="15363"/>
    <col width="81.55" customWidth="1" style="54" min="15364" max="15364"/>
    <col width="56.11" customWidth="1" style="54" min="15365" max="15365"/>
    <col width="11.55" customWidth="1" style="54" min="15366" max="15616"/>
    <col width="2.89" customWidth="1" style="54" min="15617" max="15617"/>
    <col width="4.33" customWidth="1" style="54" min="15618" max="15618"/>
    <col width="38.44" customWidth="1" style="54" min="15619" max="15619"/>
    <col width="81.55" customWidth="1" style="54" min="15620" max="15620"/>
    <col width="56.11" customWidth="1" style="54" min="15621" max="15621"/>
    <col width="11.55" customWidth="1" style="54" min="15622" max="15872"/>
    <col width="2.89" customWidth="1" style="54" min="15873" max="15873"/>
    <col width="4.33" customWidth="1" style="54" min="15874" max="15874"/>
    <col width="38.44" customWidth="1" style="54" min="15875" max="15875"/>
    <col width="81.55" customWidth="1" style="54" min="15876" max="15876"/>
    <col width="56.11" customWidth="1" style="54" min="15877" max="15877"/>
    <col width="11.55" customWidth="1" style="54" min="15878" max="16128"/>
    <col width="2.89" customWidth="1" style="54" min="16129" max="16129"/>
    <col width="4.33" customWidth="1" style="54" min="16130" max="16130"/>
    <col width="38.44" customWidth="1" style="54" min="16131" max="16131"/>
    <col width="81.55" customWidth="1" style="54" min="16132" max="16132"/>
    <col width="56.11" customWidth="1" style="54" min="16133" max="16133"/>
    <col width="11.55" customWidth="1" style="54" min="16134" max="16384"/>
  </cols>
  <sheetData>
    <row r="1" ht="56.25" customHeight="1" s="41">
      <c r="A1" s="56" t="n"/>
      <c r="B1" s="57" t="inlineStr">
        <is>
          <t>Superintendencia del Sistema Financiero</t>
        </is>
      </c>
      <c r="C1" s="58" t="n"/>
      <c r="D1" s="59" t="n"/>
      <c r="E1" s="60" t="n"/>
    </row>
    <row r="2" ht="56.25" customHeight="1" s="41">
      <c r="B2" s="61" t="inlineStr">
        <is>
          <t>Guía descriptiva de Indicadores Financieros</t>
        </is>
      </c>
      <c r="C2" s="62" t="n"/>
      <c r="D2" s="59" t="n"/>
      <c r="E2" s="60" t="n"/>
    </row>
    <row r="3" ht="56.25" customHeight="1" s="41">
      <c r="B3" s="63" t="inlineStr">
        <is>
          <t>Indicador</t>
        </is>
      </c>
      <c r="C3" s="64" t="n"/>
      <c r="D3" s="42" t="inlineStr">
        <is>
          <t>Concepto</t>
        </is>
      </c>
      <c r="E3" s="42" t="inlineStr">
        <is>
          <t>Fórmula</t>
        </is>
      </c>
    </row>
    <row r="4" ht="56.25" customHeight="1" s="41">
      <c r="B4" s="65" t="n">
        <v>1</v>
      </c>
      <c r="C4" s="66" t="inlineStr">
        <is>
          <t>Coeficiente patrimonial</t>
        </is>
      </c>
      <c r="D4" s="67" t="inlineStr">
        <is>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is>
      </c>
      <c r="E4" s="68" t="n"/>
    </row>
    <row r="5" ht="56.25" customHeight="1" s="41">
      <c r="B5" s="65" t="n">
        <v>2</v>
      </c>
      <c r="C5" s="66" t="inlineStr">
        <is>
          <t>Endeudamiento legal</t>
        </is>
      </c>
      <c r="D5" s="67" t="inlineStr">
        <is>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is>
      </c>
      <c r="E5" s="68" t="n"/>
    </row>
    <row r="6" ht="56.25" customHeight="1" s="41">
      <c r="B6" s="65" t="n">
        <v>3</v>
      </c>
      <c r="C6" s="66" t="inlineStr">
        <is>
          <t>Inversión en activo fijo</t>
        </is>
      </c>
      <c r="D6" s="67" t="inlineStr">
        <is>
          <t>Mide la utilización de los recursos patrimoniales en bienes de carácter permanente, que según el Art. 236 de la Ley de Bancos y Art. 45 de la  Ley de Bancos Cooperativos y Sociedades de Ahorro y Crédito, no deberá exceder el 75.0% del Fondo patrimonial.</t>
        </is>
      </c>
      <c r="E6" s="68" t="n"/>
    </row>
    <row r="7" ht="56.25" customHeight="1" s="41">
      <c r="B7" s="65" t="n">
        <v>4</v>
      </c>
      <c r="C7" s="66" t="inlineStr">
        <is>
          <t>Límite de operaciones interbancarias activas</t>
        </is>
      </c>
      <c r="D7" s="67" t="inlineStr">
        <is>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is>
      </c>
      <c r="E7" s="68" t="n"/>
    </row>
    <row r="8" ht="56.25" customHeight="1" s="41">
      <c r="B8" s="65" t="n">
        <v>5</v>
      </c>
      <c r="C8" s="66" t="inlineStr">
        <is>
          <t>Límite de operaciones interbancarias pasivas</t>
        </is>
      </c>
      <c r="D8" s="69" t="n"/>
      <c r="E8" s="68" t="n"/>
    </row>
    <row r="9" ht="56.25" customHeight="1" s="41">
      <c r="B9" s="65" t="n">
        <v>6</v>
      </c>
      <c r="C9" s="66" t="inlineStr">
        <is>
          <t>Productividad de préstamos</t>
        </is>
      </c>
      <c r="D9" s="67" t="inlineStr">
        <is>
          <t>Indicador financiero que muestra el rendimiento que produce la cartera de préstamos. El númerador se calcula anualizando los saldos acumulados al mes (saldo x 12/ # del mes); el denominador son los saldos acumulados al mes.</t>
        </is>
      </c>
      <c r="E9" s="68" t="n"/>
    </row>
    <row r="10" ht="56.25" customHeight="1" s="41">
      <c r="B10" s="65" t="n">
        <v>7</v>
      </c>
      <c r="C10" s="66" t="inlineStr">
        <is>
          <t>Rendimiento APBP</t>
        </is>
      </c>
      <c r="D10" s="67" t="inlineStr">
        <is>
          <t>Indicador financiero que muestra el rendimiento de los activos productivos.  El númerador se calcula anualizando los saldos acumulados al mes (saldo x 12/ # del mes); el denominador son los saldos acumulados al mes.</t>
        </is>
      </c>
      <c r="E10" s="68" t="n"/>
    </row>
    <row r="11" ht="56.25" customHeight="1" s="41">
      <c r="B11" s="65" t="n">
        <v>8</v>
      </c>
      <c r="C11" s="66" t="inlineStr">
        <is>
          <t>Costo financiero</t>
        </is>
      </c>
      <c r="D11" s="67" t="inlineStr">
        <is>
          <t>Indicador financiero que muestra el costo de los activos productivos. El númerador se calcula anualizando los saldos acumulados al mes (saldo x 12/ # del mes); el denominador son los saldos acumulados al mes.</t>
        </is>
      </c>
      <c r="E11" s="68" t="n"/>
    </row>
    <row r="12" ht="56.25" customHeight="1" s="41">
      <c r="B12" s="65" t="n">
        <v>9</v>
      </c>
      <c r="C12" s="66" t="inlineStr">
        <is>
          <t>Costo de depósitos</t>
        </is>
      </c>
      <c r="D12" s="67" t="inlineStr">
        <is>
          <t>Indicador financiero que muestra el costo de la captación de depósitos. El númerador se calcula anualizando los saldos acumulados al mes (saldo x 12/ # del mes); el denominador son los saldos acumulados al mes.</t>
        </is>
      </c>
      <c r="E12" s="68" t="n"/>
    </row>
    <row r="13" ht="56.25" customHeight="1" s="41">
      <c r="B13" s="65" t="n">
        <v>10</v>
      </c>
      <c r="C13" s="66" t="inlineStr">
        <is>
          <t>Capacidad de absorción de saneamientos</t>
        </is>
      </c>
      <c r="D13" s="67" t="inlineStr">
        <is>
          <t>Indica el porcentaje de utilidades generadas por el negocio que se utilizan para el saneamiento de la cartera irrecuperable.</t>
        </is>
      </c>
      <c r="E13" s="68" t="n"/>
    </row>
    <row r="14" ht="56.25" customHeight="1" s="41">
      <c r="B14" s="65" t="n">
        <v>11</v>
      </c>
      <c r="C14" s="66" t="inlineStr">
        <is>
          <t>Capacidad de absorción de gastos de operación</t>
        </is>
      </c>
      <c r="D14" s="67" t="inlineStr">
        <is>
          <t>Indica el porcentaje de utilidades generadas por el negocio que son absorbidas por los gastos administrativos. Dado que los saneamientos ocupan el 25.0% de los ingresos, lo más que se puede utilizar es el 75.0% restante.</t>
        </is>
      </c>
      <c r="E14" s="68" t="n"/>
    </row>
    <row r="15" ht="56.25" customHeight="1" s="41">
      <c r="B15" s="65" t="n">
        <v>12</v>
      </c>
      <c r="C15" s="66" t="inlineStr">
        <is>
          <t>Retorno patrimonial anualizado</t>
        </is>
      </c>
      <c r="D15" s="67" t="inlineStr">
        <is>
          <t>Indicador financiero que muestra el retorno de la inversión de los accionistas. El númerador se calcula anualizando los saldos acumulados al mes (saldo x 12/ # del mes); el denominador son los saldos acumulados al mes.</t>
        </is>
      </c>
      <c r="E15" s="68" t="n"/>
    </row>
    <row r="16" ht="56.25" customHeight="1" s="41">
      <c r="B16" s="65" t="n">
        <v>13</v>
      </c>
      <c r="C16" s="66" t="inlineStr">
        <is>
          <t>Retorno patrimonial mensual</t>
        </is>
      </c>
      <c r="D16" s="67" t="inlineStr">
        <is>
          <t>Indicador financiero que muestra el retorno de la inversión de los accionistas. El numerador y denominador son los saldos acumulados al mes.</t>
        </is>
      </c>
      <c r="E16" s="68" t="n"/>
    </row>
    <row r="17" ht="56.25" customHeight="1" s="41">
      <c r="B17" s="65" t="n">
        <v>14</v>
      </c>
      <c r="C17" s="66" t="inlineStr">
        <is>
          <t>Componente extraordinario en utilidades</t>
        </is>
      </c>
      <c r="D17" s="67" t="inlineStr">
        <is>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is>
      </c>
      <c r="E17" s="68" t="n"/>
      <c r="H17" s="70" t="n"/>
    </row>
    <row r="18" ht="56.25" customHeight="1" s="41">
      <c r="B18" s="65" t="n">
        <v>15</v>
      </c>
      <c r="C18" s="66" t="inlineStr">
        <is>
          <t>Retorno sobre capital primario anualizado</t>
        </is>
      </c>
      <c r="D18" s="67" t="inlineStr">
        <is>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is>
      </c>
      <c r="E18" s="68" t="n"/>
    </row>
    <row r="19" ht="56.25" customHeight="1" s="41">
      <c r="B19" s="65" t="n">
        <v>16</v>
      </c>
      <c r="C19" s="66" t="inlineStr">
        <is>
          <t>Retorno sobre capital primario mensual</t>
        </is>
      </c>
      <c r="D19" s="67" t="inlineStr">
        <is>
          <t>Indicador financiero que muestra el retorno del capital primario del fondo patrimonial, que representa el capital de calidad de una entidad bancaria. El númerador y denominador son los saldos acumulados al mes.</t>
        </is>
      </c>
      <c r="E19" s="68" t="n"/>
    </row>
    <row r="20" ht="56.25" customHeight="1" s="41">
      <c r="B20" s="65" t="n">
        <v>17</v>
      </c>
      <c r="C20" s="66" t="inlineStr">
        <is>
          <t>Retorno sobre activos anualizado</t>
        </is>
      </c>
      <c r="D20" s="67" t="inlineStr">
        <is>
          <t>Indicador financiero que muestra el retorno que generan los activos, como una medida de la eficacia en el manejo de los recursos de la entidad. El númerador se calcula anualizando los saldos acumulados al mes (saldo x 12/ # del mes); el denominador son los saldos acumulados al mes.</t>
        </is>
      </c>
      <c r="E20" s="68" t="n"/>
    </row>
    <row r="21" ht="56.25" customHeight="1" s="41">
      <c r="B21" s="65" t="n">
        <v>18</v>
      </c>
      <c r="C21" s="66" t="inlineStr">
        <is>
          <t>Retorno sobre activos mensual</t>
        </is>
      </c>
      <c r="D21" s="67" t="inlineStr">
        <is>
          <t>Indicador financiero que muestra el retorno que generan los activos, como una medida de la eficacia en el manejo de los recursos de la entidad. El númerador y denominador son los saldos acumulados al mes.</t>
        </is>
      </c>
      <c r="E21" s="68" t="n"/>
    </row>
    <row r="22" ht="56.25" customHeight="1" s="41">
      <c r="B22" s="65" t="n">
        <v>19</v>
      </c>
      <c r="C22" s="66" t="inlineStr">
        <is>
          <t>Margen financiero</t>
        </is>
      </c>
      <c r="D22" s="67" t="inlineStr">
        <is>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is>
      </c>
      <c r="E22" s="68" t="n"/>
    </row>
    <row r="23" ht="66.25" customHeight="1" s="41">
      <c r="B23" s="65" t="n">
        <v>20</v>
      </c>
      <c r="C23" s="66" t="inlineStr">
        <is>
          <t>Suficiencia de reservas</t>
        </is>
      </c>
      <c r="D23" s="67" t="inlineStr">
        <is>
          <t>Indicador financiero que muestra el nivel de recursos que se han destinado para cubrir las posibles pérdidas por irrecuperabilidad de los préstamos.</t>
        </is>
      </c>
      <c r="E23" s="71" t="n"/>
    </row>
    <row r="24" ht="56.25" customHeight="1" s="41">
      <c r="B24" s="65" t="n">
        <v>21</v>
      </c>
      <c r="C24" s="66" t="inlineStr">
        <is>
          <t>Índice de vencimiento</t>
        </is>
      </c>
      <c r="D24" s="67" t="inlineStr">
        <is>
          <t>Indicador financiero que muestra el porcentaje de cartera que ha caído en incumplimiento de pago mayor a 90 días. Prudencialmente, éste indicador no debería ser mayor al 4%.</t>
        </is>
      </c>
      <c r="E24" s="68" t="n"/>
    </row>
    <row r="25" ht="56.25" customHeight="1" s="41">
      <c r="B25" s="65" t="n">
        <v>22</v>
      </c>
      <c r="C25" s="66" t="inlineStr">
        <is>
          <t>Cobertura de reservas</t>
        </is>
      </c>
      <c r="D25" s="67" t="inlineStr">
        <is>
          <t>Muestra el nivel de recursos que se han destinado para cubrir las posibles pérdidas por irrecuperabilidad de los préstamos vencidos. Prudencialmente, este indicador debería ser mayor al 100%.</t>
        </is>
      </c>
      <c r="E25" s="68" t="n"/>
    </row>
    <row r="26" ht="56.25" customHeight="1" s="41">
      <c r="B26" s="65" t="n">
        <v>23</v>
      </c>
      <c r="C26" s="66" t="inlineStr">
        <is>
          <t>Activos inmovilizados</t>
        </is>
      </c>
      <c r="D26" s="67" t="inlineStr">
        <is>
          <t>Indica el nivel de recursos improductivos que podrían impactar el patrimonio.</t>
        </is>
      </c>
      <c r="E26" s="72" t="n"/>
    </row>
    <row r="27" ht="56.25" customHeight="1" s="41">
      <c r="B27" s="65" t="n">
        <v>24</v>
      </c>
      <c r="C27" s="66" t="inlineStr">
        <is>
          <t>Colocación de recursos</t>
        </is>
      </c>
      <c r="D27" s="67" t="inlineStr">
        <is>
          <t>Indicador financiero que muestra la existencia de una colocación prudente de los recursos. Es deseable que todos los recursos que la entidad capte sean orientados hacia la principal actividad, sin excesos que pudieran presionar la liquidez.</t>
        </is>
      </c>
      <c r="E27" s="68" t="n"/>
    </row>
    <row r="28" ht="56.25" customHeight="1" s="41">
      <c r="B28" s="65" t="n">
        <v>25</v>
      </c>
      <c r="C28" s="66" t="inlineStr">
        <is>
          <t>Variación de depósitos</t>
        </is>
      </c>
      <c r="D28" s="67" t="inlineStr">
        <is>
          <t>Muestra la evolución de la actividad medida a través de la principal cuenta del pasivo relacionada directamente con la actividad de intermediación.</t>
        </is>
      </c>
      <c r="E28" s="68" t="n"/>
    </row>
    <row r="29" ht="56.25" customHeight="1" s="41">
      <c r="B29" s="65" t="n">
        <v>26</v>
      </c>
      <c r="C29" s="66" t="inlineStr">
        <is>
          <t>Variación de préstamos</t>
        </is>
      </c>
      <c r="D29" s="67" t="inlineStr">
        <is>
          <t>Muestra la evolución de la actividad medida a través de la principal cuenta del activo relacionada directamente con la actividad de intermediación.</t>
        </is>
      </c>
      <c r="E29" s="68" t="n"/>
    </row>
    <row r="30" ht="56.25" customHeight="1" s="41">
      <c r="B30" s="65" t="n">
        <v>27</v>
      </c>
      <c r="C30" s="66" t="inlineStr">
        <is>
          <t>Variación de cartera vencida</t>
        </is>
      </c>
      <c r="D30" s="67" t="inlineStr">
        <is>
          <t>Muestra la evolución de la cartera vencida.</t>
        </is>
      </c>
      <c r="E30" s="68" t="n"/>
    </row>
    <row r="31" ht="57" customHeight="1" s="41"/>
    <row r="32" ht="14.25" customHeight="1" s="41"/>
    <row r="33" ht="14.25" customHeight="1" s="41"/>
  </sheetData>
  <mergeCells count="2">
    <mergeCell ref="D8:D9"/>
    <mergeCell ref="B4:C4"/>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Jefferson Mauricio Valencia Monterrosa</dc:creator>
  <dc:language>en-US</dc:language>
  <dcterms:created xsi:type="dcterms:W3CDTF">2024-04-23T21:02:38Z</dcterms:created>
  <dcterms:modified xsi:type="dcterms:W3CDTF">2025-12-19T21:02:56Z</dcterms:modified>
  <cp:revision>1</cp:revision>
</cp:coreProperties>
</file>